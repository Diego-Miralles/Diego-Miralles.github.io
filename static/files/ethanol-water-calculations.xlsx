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8239212dd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aba1ce40cfae494b"/>
    <x:sheet xmlns:r="http://schemas.openxmlformats.org/officeDocument/2006/relationships" name="Entradas" sheetId="2" r:id="Rcb3097f4f19f48b0"/>
    <x:sheet xmlns:r="http://schemas.openxmlformats.org/officeDocument/2006/relationships" name="Balance_flash" sheetId="3" r:id="R3a9fea73e73f4125"/>
    <x:sheet xmlns:r="http://schemas.openxmlformats.org/officeDocument/2006/relationships" name="Casos_flash" sheetId="4" r:id="Rcce540d33e594f66"/>
    <x:sheet xmlns:r="http://schemas.openxmlformats.org/officeDocument/2006/relationships" name="Dashboard" sheetId="5" r:id="R770daf866d3a4020"/>
    <x:sheet xmlns:r="http://schemas.openxmlformats.org/officeDocument/2006/relationships" name="Columna_opcional" sheetId="6" r:id="Rcd2f79add8dd4082"/>
    <x:sheet xmlns:r="http://schemas.openxmlformats.org/officeDocument/2006/relationships" name="HAZOP" sheetId="7" r:id="R805c194b284d41e3"/>
    <x:sheet xmlns:r="http://schemas.openxmlformats.org/officeDocument/2006/relationships" name="Verificacion" sheetId="8" r:id="R4621b73aa0794da7"/>
    <x:sheet xmlns:r="http://schemas.openxmlformats.org/officeDocument/2006/relationships" name="Registro_sesiones" sheetId="9" r:id="R3620ec1c075c4af0"/>
    <x:sheet xmlns:r="http://schemas.openxmlformats.org/officeDocument/2006/relationships" name="Fuentes" sheetId="10" r:id="Rc9cb606cfa164216"/>
    <x:sheet xmlns:r="http://schemas.openxmlformats.org/officeDocument/2006/relationships" name="Graf_Recuperacion_Pureza" sheetId="11" r:id="R857e71a083434f4e"/>
    <x:sheet xmlns:r="http://schemas.openxmlformats.org/officeDocument/2006/relationships" name="Graf_Energia" sheetId="12" r:id="Rd6954b07a0334bed"/>
  </x:sheets>
</x:workbook>
</file>

<file path=xl/sharedStrings.xml><?xml version="1.0" encoding="utf-8"?>
<x:sst xmlns:x="http://schemas.openxmlformats.org/spreadsheetml/2006/main">
  <x:si>
    <x:t xml:space="preserve">Proyecto 1 · Recuperación de etanol (plantilla de trabajo)</x:t>
  </x:si>
  <x:si>
    <x:t xml:space="preserve">Caso educativo e hipotético. No representa una planta real ni sustituye una revisión profesional de proceso, seguridad o GMP.</x:t>
  </x:si>
  <x:si>
    <x:t xml:space="preserve">Ruta de trabajo recomendada</x:t>
  </x:si>
  <x:si>
    <x:t xml:space="preserve">Software principal: DWSIM open-source v9.0.5 (gratis) + Excel. La edición Patreon de DWSIM no es necesaria para este proyecto. Las instrucciones del manual se apoyan en la interfaz Classic; los nombres pueden variar ligeramente por sistema operativo.</x:t>
  </x:si>
  <x:si>
    <x:t xml:space="preserve">Entradas del caso hipotético</x:t>
  </x:si>
  <x:si>
    <x:t xml:space="preserve">Valores de partida para el caso de estudio. Modifica solo las celdas azules.</x:t>
  </x:si>
  <x:si>
    <x:t xml:space="preserve">Variable</x:t>
  </x:si>
  <x:si>
    <x:t xml:space="preserve">Valor</x:t>
  </x:si>
  <x:si>
    <x:t xml:space="preserve">Unidad</x:t>
  </x:si>
  <x:si>
    <x:t xml:space="preserve">Nota</x:t>
  </x:si>
  <x:si>
    <x:t xml:space="preserve">Caudal másico de alimentación</x:t>
  </x:si>
  <x:si>
    <x:t xml:space="preserve">kg/h</x:t>
  </x:si>
  <x:si>
    <x:t xml:space="preserve">Base pequeña y fácil de auditar</x:t>
  </x:si>
  <x:si>
    <x:t xml:space="preserve">Fracción másica de etanol</x:t>
  </x:si>
  <x:si>
    <x:t xml:space="preserve">kg/kg</x:t>
  </x:si>
  <x:si>
    <x:t xml:space="preserve">Supuesto educativo</x:t>
  </x:si>
  <x:si>
    <x:t xml:space="preserve">Fracción másica de agua</x:t>
  </x:si>
  <x:si>
    <x:t xml:space="preserve">Calculada como 1 − xEtOH</x:t>
  </x:si>
  <x:si>
    <x:t xml:space="preserve">Temperatura de alimentación</x:t>
  </x:si>
  <x:si>
    <x:t xml:space="preserve">°C</x:t>
  </x:si>
  <x:si>
    <x:t xml:space="preserve">Presión de alimentación</x:t>
  </x:si>
  <x:si>
    <x:t xml:space="preserve">bar</x:t>
  </x:si>
  <x:si>
    <x:t xml:space="preserve">Aproximación atmosférica</x:t>
  </x:si>
  <x:si>
    <x:t xml:space="preserve">Temperatura del caso base</x:t>
  </x:si>
  <x:si>
    <x:t xml:space="preserve">Caída de presión en H-1</x:t>
  </x:si>
  <x:si>
    <x:t xml:space="preserve">Simplificación</x:t>
  </x:si>
  <x:si>
    <x:t xml:space="preserve">Eficiencia del heater</x:t>
  </x:si>
  <x:si>
    <x:t xml:space="preserve">fracción</x:t>
  </x:si>
  <x:si>
    <x:t xml:space="preserve">100 % en el modelo</x:t>
  </x:si>
  <x:si>
    <x:t xml:space="preserve">Paquete termodinámico</x:t>
  </x:si>
  <x:si>
    <x:t xml:space="preserve">NRTL</x:t>
  </x:si>
  <x:si>
    <x:t xml:space="preserve">-</x:t>
  </x:si>
  <x:si>
    <x:t xml:space="preserve">Base de composición</x:t>
  </x:si>
  <x:si>
    <x:t xml:space="preserve">Mass Fraction</x:t>
  </x:si>
  <x:si>
    <x:t xml:space="preserve">Componente ligero</x:t>
  </x:si>
  <x:si>
    <x:t xml:space="preserve">Ethanol</x:t>
  </x:si>
  <x:si>
    <x:t xml:space="preserve">Tolerancia de balance</x:t>
  </x:si>
  <x:si>
    <x:t xml:space="preserve">Equivale a 0,5 %</x:t>
  </x:si>
  <x:si>
    <x:t xml:space="preserve">Criterio práctico: si el vapor fraction del stream Two-Phase es 0 o 1, cambia la temperatura de H-1 en pasos de 2 °C hasta obtener 0 &lt; vapor fraction &lt; 1. Registra el cambio; no fuerces un resultado.</x:t>
  </x:si>
  <x:si>
    <x:t xml:space="preserve">Comprobación del caso base · flash</x:t>
  </x:si>
  <x:si>
    <x:t xml:space="preserve">Copia los resultados de DWSIM en las celdas azules. Las demás celdas calculan los balances.</x:t>
  </x:si>
  <x:si>
    <x:t xml:space="preserve">Corriente</x:t>
  </x:si>
  <x:si>
    <x:t xml:space="preserve">Caudal másico (kg/h)</x:t>
  </x:si>
  <x:si>
    <x:t xml:space="preserve">x EtOH (masa)</x:t>
  </x:si>
  <x:si>
    <x:t xml:space="preserve">x agua (masa)</x:t>
  </x:si>
  <x:si>
    <x:t xml:space="preserve">EtOH (kg/h)</x:t>
  </x:si>
  <x:si>
    <x:t xml:space="preserve">Agua (kg/h)</x:t>
  </x:si>
  <x:si>
    <x:t xml:space="preserve">Feed</x:t>
  </x:si>
  <x:si>
    <x:t xml:space="preserve">Vapor</x:t>
  </x:si>
  <x:si>
    <x:t xml:space="preserve">Liquid</x:t>
  </x:si>
  <x:si>
    <x:t xml:space="preserve">Comprobación</x:t>
  </x:si>
  <x:si>
    <x:t xml:space="preserve">Entrada</x:t>
  </x:si>
  <x:si>
    <x:t xml:space="preserve">Salida</x:t>
  </x:si>
  <x:si>
    <x:t xml:space="preserve">Error relativo</x:t>
  </x:si>
  <x:si>
    <x:t xml:space="preserve">Indicador</x:t>
  </x:si>
  <x:si>
    <x:t xml:space="preserve">Resultado</x:t>
  </x:si>
  <x:si>
    <x:t xml:space="preserve">Criterio</x:t>
  </x:si>
  <x:si>
    <x:t xml:space="preserve">Masa total</x:t>
  </x:si>
  <x:si>
    <x:t xml:space="preserve">Balance total</x:t>
  </x:si>
  <x:si>
    <x:t xml:space="preserve">Etanol</x:t>
  </x:si>
  <x:si>
    <x:t xml:space="preserve">Balance EtOH</x:t>
  </x:si>
  <x:si>
    <x:t xml:space="preserve">Agua</x:t>
  </x:si>
  <x:si>
    <x:t xml:space="preserve">Balance agua</x:t>
  </x:si>
  <x:si>
    <x:t xml:space="preserve">Vapor enriquecido</x:t>
  </x:si>
  <x:si>
    <x:t xml:space="preserve">xEtOH,vapor &gt; xEtOH,feed</x:t>
  </x:si>
  <x:si>
    <x:t xml:space="preserve">Qué copiar desde DWSIM: Vapor → Results → Mass Flow y Composition (Mass Fraction, Ethanol); después lo mismo para Liquid. Verifica primero que la base sea Mass Fraction y que el caudal esté en kg/h.</x:t>
  </x:si>
  <x:si>
    <x:t xml:space="preserve">Sensibilidad de temperatura · flash</x:t>
  </x:si>
  <x:si>
    <x:t xml:space="preserve">Ejecuta cada temperatura en DWSIM y copia cinco resultados. Las fórmulas calculan recuperación, pureza, energía y cierre.</x:t>
  </x:si>
  <x:si>
    <x:t xml:space="preserve">Caso</x:t>
  </x:si>
  <x:si>
    <x:t xml:space="preserve">T salida H-1 (°C)</x:t>
  </x:si>
  <x:si>
    <x:t xml:space="preserve">Vapor (kg/h)</x:t>
  </x:si>
  <x:si>
    <x:t xml:space="preserve">xEtOH vapor</x:t>
  </x:si>
  <x:si>
    <x:t xml:space="preserve">Liquid (kg/h)</x:t>
  </x:si>
  <x:si>
    <x:t xml:space="preserve">xEtOH liquid</x:t>
  </x:si>
  <x:si>
    <x:t xml:space="preserve">Duty H-1 (kW)</x:t>
  </x:si>
  <x:si>
    <x:t xml:space="preserve">EtOH vapor (kg/h)</x:t>
  </x:si>
  <x:si>
    <x:t xml:space="preserve">Recuperación EtOH</x:t>
  </x:si>
  <x:si>
    <x:t xml:space="preserve">Pureza vapor</x:t>
  </x:si>
  <x:si>
    <x:t xml:space="preserve">Energía específica (kWh/kg EtOH)</x:t>
  </x:si>
  <x:si>
    <x:t xml:space="preserve">Error masa</x:t>
  </x:si>
  <x:si>
    <x:t xml:space="preserve">Error EtOH</x:t>
  </x:si>
  <x:si>
    <x:t xml:space="preserve">Estado</x:t>
  </x:si>
  <x:si>
    <x:t xml:space="preserve">F-01</x:t>
  </x:si>
  <x:si>
    <x:t xml:space="preserve">F-02</x:t>
  </x:si>
  <x:si>
    <x:t xml:space="preserve">F-03</x:t>
  </x:si>
  <x:si>
    <x:t xml:space="preserve">F-04</x:t>
  </x:si>
  <x:si>
    <x:t xml:space="preserve">F-05</x:t>
  </x:si>
  <x:si>
    <x:t xml:space="preserve">F-06</x:t>
  </x:si>
  <x:si>
    <x:t xml:space="preserve">F-07</x:t>
  </x:si>
  <x:si>
    <x:t xml:space="preserve">No esperes que todos los casos tengan dos fases. Si vapor fraction = 0, anota 'sin vapor'; si = 1, anota 'todo vapor'. Esos límites también son un resultado útil. No rellenes huecos con valores inventados.</x:t>
  </x:si>
  <x:si>
    <x:t xml:space="preserve">Resumen y tabla preparada para gráficos</x:t>
  </x:si>
  <x:si>
    <x:t xml:space="preserve">Los indicadores se activan al completar Casos_flash. No contiene datos simulados ficticios.</x:t>
  </x:si>
  <x:si>
    <x:t xml:space="preserve">T (°C)</x:t>
  </x:si>
  <x:si>
    <x:t xml:space="preserve">Energía específica</x:t>
  </x:si>
  <x:si>
    <x:t xml:space="preserve">Caso base</x:t>
  </x:si>
  <x:si>
    <x:t xml:space="preserve">Temperatura</x:t>
  </x:si>
  <x:si>
    <x:t xml:space="preserve">Recuperación</x:t>
  </x:si>
  <x:si>
    <x:t xml:space="preserve">Pureza</x:t>
  </x:si>
  <x:si>
    <x:t xml:space="preserve">Sesión 12 completada: las hojas Graf_Recuperacion_Pureza y Graf_Energia representan los casos válidos de Casos_flash. Los casos de 82 y 84 °C no muestran puntos de producto vapor porque no existe fase vapor; no se han inventado ceros.</x:t>
  </x:si>
  <x:si>
    <x:t xml:space="preserve">Extensión opcional · columna de destilación</x:t>
  </x:si>
  <x:si>
    <x:t xml:space="preserve">Solo después de completar el flash. Empieza replicando el tutorial oficial antes de adaptar el caso.</x:t>
  </x:si>
  <x:si>
    <x:t xml:space="preserve">Etapas</x:t>
  </x:si>
  <x:si>
    <x:t xml:space="preserve">Etapa feed</x:t>
  </x:si>
  <x:si>
    <x:t xml:space="preserve">Reflux ratio</x:t>
  </x:si>
  <x:si>
    <x:t xml:space="preserve">Bottoms flow (mol/s)</x:t>
  </x:si>
  <x:si>
    <x:t xml:space="preserve">xEtOH destilado</x:t>
  </x:si>
  <x:si>
    <x:t xml:space="preserve">xEtOH fondos</x:t>
  </x:si>
  <x:si>
    <x:t xml:space="preserve">Q condensador (kW)</x:t>
  </x:si>
  <x:si>
    <x:t xml:space="preserve">Q reboiler (kW)</x:t>
  </x:si>
  <x:si>
    <x:t xml:space="preserve">Convergencia</x:t>
  </x:si>
  <x:si>
    <x:t xml:space="preserve">C-01</x:t>
  </x:si>
  <x:si>
    <x:t xml:space="preserve">CONVERGE</x:t>
  </x:si>
  <x:si>
    <x:t xml:space="preserve">C-02</x:t>
  </x:si>
  <x:si>
    <x:t xml:space="preserve">C-03</x:t>
  </x:si>
  <x:si>
    <x:t xml:space="preserve">C-04</x:t>
  </x:si>
  <x:si>
    <x:t xml:space="preserve">C-05</x:t>
  </x:si>
  <x:si>
    <x:t xml:space="preserve">Los valores iniciales (20 etapas, feed 10, reflux ratio 2, bottoms 75 mol/s) pertenecen al tutorial oficial 50/50 molar. No los presentes como diseño de tu proceso. Si la columna no converge tras dos sesiones, documenta el intento, el error y las acciones probadas; eso sigue siendo evidencia de aprendizaje.</x:t>
  </x:si>
  <x:si>
    <x:t xml:space="preserve">Revisión HAZOP educativa</x:t>
  </x:si>
  <x:si>
    <x:t xml:space="preserve">Ejercicio cualitativo de aprendizaje. No es una PHA/HAZOP profesional ni autoriza operar equipos reales.</x:t>
  </x:si>
  <x:si>
    <x:t xml:space="preserve">ID</x:t>
  </x:si>
  <x:si>
    <x:t xml:space="preserve">Nodo</x:t>
  </x:si>
  <x:si>
    <x:t xml:space="preserve">Guide word</x:t>
  </x:si>
  <x:si>
    <x:t xml:space="preserve">Desviación</x:t>
  </x:si>
  <x:si>
    <x:t xml:space="preserve">Causa posible</x:t>
  </x:si>
  <x:si>
    <x:t xml:space="preserve">Consecuencia</x:t>
  </x:si>
  <x:si>
    <x:t xml:space="preserve">Salvaguarda asumida</x:t>
  </x:si>
  <x:si>
    <x:t xml:space="preserve">Recomendación</x:t>
  </x:si>
  <x:si>
    <x:t xml:space="preserve">S (1–5)</x:t>
  </x:si>
  <x:si>
    <x:t xml:space="preserve">L (1–5)</x:t>
  </x:si>
  <x:si>
    <x:t xml:space="preserve">Riesgo</x:t>
  </x:si>
  <x:si>
    <x:t xml:space="preserve">Prioridad</x:t>
  </x:si>
  <x:si>
    <x:t xml:space="preserve">Evidencia / límite</x:t>
  </x:si>
  <x:si>
    <x:t xml:space="preserve">HZ-01</x:t>
  </x:si>
  <x:si>
    <x:t xml:space="preserve">H-1</x:t>
  </x:si>
  <x:si>
    <x:t xml:space="preserve">MORE</x:t>
  </x:si>
  <x:si>
    <x:t xml:space="preserve">Temperatura alta</x:t>
  </x:si>
  <x:si>
    <x:t xml:space="preserve">Fallo de control o setpoint incorrecto</x:t>
  </x:si>
  <x:si>
    <x:t xml:space="preserve">Más vaporización; posible aumento de presión aguas abajo</x:t>
  </x:si>
  <x:si>
    <x:t xml:space="preserve">No definida en el modelo</x:t>
  </x:si>
  <x:si>
    <x:t xml:space="preserve">Proponer alarma HH de temperatura y enclavamiento; verificar suposiciones</x:t>
  </x:si>
  <x:si>
    <x:t xml:space="preserve">Cualitativo</x:t>
  </x:si>
  <x:si>
    <x:t xml:space="preserve">HZ-02</x:t>
  </x:si>
  <x:si>
    <x:t xml:space="preserve">NO</x:t>
  </x:si>
  <x:si>
    <x:t xml:space="preserve">Sin caudal</x:t>
  </x:si>
  <x:si>
    <x:t xml:space="preserve">Válvula cerrada o fallo de alimentación</x:t>
  </x:si>
  <x:si>
    <x:t xml:space="preserve">Calentamiento sin flujo; producto fuera de especificación</x:t>
  </x:si>
  <x:si>
    <x:t xml:space="preserve">No definida</x:t>
  </x:si>
  <x:si>
    <x:t xml:space="preserve">Detectar bajo caudal y cortar aporte térmico</x:t>
  </x:si>
  <x:si>
    <x:t xml:space="preserve">HZ-03</x:t>
  </x:si>
  <x:si>
    <x:t xml:space="preserve">SEP-1</x:t>
  </x:si>
  <x:si>
    <x:t xml:space="preserve">Presión alta</x:t>
  </x:si>
  <x:si>
    <x:t xml:space="preserve">Salida de vapor bloqueada</x:t>
  </x:si>
  <x:si>
    <x:t xml:space="preserve">Pérdida de contención o daño del equipo</x:t>
  </x:si>
  <x:si>
    <x:t xml:space="preserve">Identificar protección de sobrepresión y destino seguro de descarga</x:t>
  </x:si>
  <x:si>
    <x:t xml:space="preserve">No dimensionar PSV</x:t>
  </x:si>
  <x:si>
    <x:t xml:space="preserve">HZ-04</x:t>
  </x:si>
  <x:si>
    <x:t xml:space="preserve">Nivel alto</x:t>
  </x:si>
  <x:si>
    <x:t xml:space="preserve">Salida de líquido restringida</x:t>
  </x:si>
  <x:si>
    <x:t xml:space="preserve">Arrastre de líquido al vapor y separación deficiente</x:t>
  </x:si>
  <x:si>
    <x:t xml:space="preserve">Control/alarma de nivel alto; revisar capacidad</x:t>
  </x:si>
  <x:si>
    <x:t xml:space="preserve">HZ-05</x:t>
  </x:si>
  <x:si>
    <x:t xml:space="preserve">LESS</x:t>
  </x:si>
  <x:si>
    <x:t xml:space="preserve">Nivel bajo</x:t>
  </x:si>
  <x:si>
    <x:t xml:space="preserve">Drenaje excesivo</x:t>
  </x:si>
  <x:si>
    <x:t xml:space="preserve">Paso de vapor hacia línea líquida</x:t>
  </x:si>
  <x:si>
    <x:t xml:space="preserve">Control y alarma de nivel bajo</x:t>
  </x:si>
  <x:si>
    <x:t xml:space="preserve">HZ-06</x:t>
  </x:si>
  <x:si>
    <x:t xml:space="preserve">Sistema</x:t>
  </x:si>
  <x:si>
    <x:t xml:space="preserve">OTHER THAN</x:t>
  </x:si>
  <x:si>
    <x:t xml:space="preserve">Fuga de mezcla</x:t>
  </x:si>
  <x:si>
    <x:t xml:space="preserve">Junta, conexión o instrumento defectuoso</x:t>
  </x:si>
  <x:si>
    <x:t xml:space="preserve">Exposición y atmósfera inflamable</x:t>
  </x:si>
  <x:si>
    <x:t xml:space="preserve">Contención, ventilación, detección y control de fuentes de ignición</x:t>
  </x:si>
  <x:si>
    <x:t xml:space="preserve">Consultar SDS real</x:t>
  </x:si>
  <x:si>
    <x:t xml:space="preserve">HZ-07</x:t>
  </x:si>
  <x:si>
    <x:t xml:space="preserve">Más etanol</x:t>
  </x:si>
  <x:si>
    <x:t xml:space="preserve">Error de carga o variabilidad de materia prima</x:t>
  </x:si>
  <x:si>
    <x:t xml:space="preserve">Cambia VLE, caudal de vapor y demanda térmica</x:t>
  </x:si>
  <x:si>
    <x:t xml:space="preserve">Análisis de composición</x:t>
  </x:si>
  <x:si>
    <x:t xml:space="preserve">Definir límite de composición y verificación previa</x:t>
  </x:si>
  <x:si>
    <x:t xml:space="preserve">Caso hipotético</x:t>
  </x:si>
  <x:si>
    <x:t xml:space="preserve">HZ-08</x:t>
  </x:si>
  <x:si>
    <x:t xml:space="preserve">Aporte térmico bajo</x:t>
  </x:si>
  <x:si>
    <x:t xml:space="preserve">Fallo de utilidad o ensuciamiento</x:t>
  </x:si>
  <x:si>
    <x:t xml:space="preserve">Recuperación insuficiente; producto fuera de objetivo</x:t>
  </x:si>
  <x:si>
    <x:t xml:space="preserve">Indicador de duty</x:t>
  </x:si>
  <x:si>
    <x:t xml:space="preserve">Alarma de baja temperatura y criterio de rechazo</x:t>
  </x:si>
  <x:si>
    <x:t xml:space="preserve">Calidad/proceso</x:t>
  </x:si>
  <x:si>
    <x:t xml:space="preserve">HZ-09</x:t>
  </x:si>
  <x:si>
    <x:t xml:space="preserve">REVERSE</x:t>
  </x:si>
  <x:si>
    <x:t xml:space="preserve">Flujo inverso</x:t>
  </x:si>
  <x:si>
    <x:t xml:space="preserve">Diferencia de presión o alineación incorrecta de válvulas</x:t>
  </x:si>
  <x:si>
    <x:t xml:space="preserve">Retorno de mezcla caliente hacia la alimentación; contaminación o exposición aguas arriba</x:t>
  </x:si>
  <x:si>
    <x:t xml:space="preserve">Proponer válvula antirretorno y comprobar la dirección del flujo</x:t>
  </x:si>
  <x:si>
    <x:t xml:space="preserve">Hipótesis cualitativa; no representado en DWSIM</x:t>
  </x:si>
  <x:si>
    <x:t xml:space="preserve">HZ-10</x:t>
  </x:si>
  <x:si>
    <x:t xml:space="preserve">Composición incorrecta o contaminada</x:t>
  </x:si>
  <x:si>
    <x:t xml:space="preserve">Error de carga, identificación incorrecta o contaminación de la materia prima</x:t>
  </x:si>
  <x:si>
    <x:t xml:space="preserve">Cambio del equilibrio VLE, la pureza, la recuperación y la demanda térmica; producto fuera de especificación</x:t>
  </x:si>
  <x:si>
    <x:t xml:space="preserve">Verificar la composición antes de alimentar y definir límites de aceptación</x:t>
  </x:si>
  <x:si>
    <x:t xml:space="preserve">Hipótesis cualitativa; requiere especificación y SDS reales</x:t>
  </x:si>
  <x:si>
    <x:t xml:space="preserve">Plan de verificación inspirado en GMP</x:t>
  </x:si>
  <x:si>
    <x:t xml:space="preserve">Ejercicio documental, no validación GMP real. Registra evidencia objetiva y evita declarar ‘validado’ un modelo educativo.</x:t>
  </x:si>
  <x:si>
    <x:t xml:space="preserve">URS ID</x:t>
  </x:si>
  <x:si>
    <x:t xml:space="preserve">Requisito</x:t>
  </x:si>
  <x:si>
    <x:t xml:space="preserve">Método de prueba</x:t>
  </x:si>
  <x:si>
    <x:t xml:space="preserve">Criterio de aceptación</x:t>
  </x:si>
  <x:si>
    <x:t xml:space="preserve">Resultado real</x:t>
  </x:si>
  <x:si>
    <x:t xml:space="preserve">URS-001</x:t>
  </x:si>
  <x:si>
    <x:t xml:space="preserve">El modelo contiene Water y Ethanol y usa NRTL</x:t>
  </x:si>
  <x:si>
    <x:t xml:space="preserve">Medio</x:t>
  </x:si>
  <x:si>
    <x:t xml:space="preserve">Inspección de Simulation Settings</x:t>
  </x:si>
  <x:si>
    <x:t xml:space="preserve">Dos componentes presentes; property package = NRTL</x:t>
  </x:si>
  <x:si>
    <x:t xml:space="preserve">Water y Ethanol presentes; paquete termodinámico NRTL seleccionado</x:t>
  </x:si>
  <x:si>
    <x:t xml:space="preserve">CUMPLE</x:t>
  </x:si>
  <x:si>
    <x:t xml:space="preserve">URS-002</x:t>
  </x:si>
  <x:si>
    <x:t xml:space="preserve">La alimentación coincide con la hoja Entradas</x:t>
  </x:si>
  <x:si>
    <x:t xml:space="preserve">Alto</x:t>
  </x:si>
  <x:si>
    <x:t xml:space="preserve">Comparar stream Feed con Entradas</x:t>
  </x:si>
  <x:si>
    <x:t xml:space="preserve">Caudal, T, P y composición coinciden</x:t>
  </x:si>
  <x:si>
    <x:t xml:space="preserve">100,000 kg/h; 25,00 °C; 1,000 bar; wEtOH = 0,3000; wH2O = 0,7000</x:t>
  </x:si>
  <x:si>
    <x:t xml:space="preserve">URS-003</x:t>
  </x:si>
  <x:si>
    <x:t xml:space="preserve">Cierre de masa total del caso base</x:t>
  </x:si>
  <x:si>
    <x:t xml:space="preserve">Revisar Balance_flash</x:t>
  </x:si>
  <x:si>
    <x:t xml:space="preserve">|error| ≤ 0,5 %</x:t>
  </x:si>
  <x:si>
    <x:t xml:space="preserve">Entrada = 100,000 kg/h; salidas = 100,000 kg/h; error de masa = 0,000 %</x:t>
  </x:si>
  <x:si>
    <x:t xml:space="preserve">URS-004</x:t>
  </x:si>
  <x:si>
    <x:t xml:space="preserve">Cierre de componente etanol</x:t>
  </x:si>
  <x:si>
    <x:t xml:space="preserve">EtOH entrada = 30,000 kg/h; EtOH salidas = 29,9954 kg/h; error = −0,0154 %</x:t>
  </x:si>
  <x:si>
    <x:t xml:space="preserve">URS-005</x:t>
  </x:si>
  <x:si>
    <x:t xml:space="preserve">El vapor se enriquece en etanol</x:t>
  </x:si>
  <x:si>
    <x:t xml:space="preserve">Comparar xEtOH vapor y feed</x:t>
  </x:si>
  <x:si>
    <x:t xml:space="preserve">wEtOH vapor = 0,6480 &gt; wEtOH feed = 0,3000</x:t>
  </x:si>
  <x:si>
    <x:t xml:space="preserve">URS-006</x:t>
  </x:si>
  <x:si>
    <x:t xml:space="preserve">La sensibilidad incluye siete temperaturas</x:t>
  </x:si>
  <x:si>
    <x:t xml:space="preserve">Bajo</x:t>
  </x:si>
  <x:si>
    <x:t xml:space="preserve">Revisar Casos_flash</x:t>
  </x:si>
  <x:si>
    <x:t xml:space="preserve">7 casos ejecutados o límites de fase justificados</x:t>
  </x:si>
  <x:si>
    <x:t xml:space="preserve">7 casos registrados: 82, 84, 86, 87, 88, 90 y 92 °C; 82 y 84 °C justificados como SIN VAPOR</x:t>
  </x:si>
  <x:si>
    <x:t xml:space="preserve">URS-007</x:t>
  </x:si>
  <x:si>
    <x:t xml:space="preserve">Cada resultado es trazable a archivo y versión</x:t>
  </x:si>
  <x:si>
    <x:t xml:space="preserve">Revisar Registro_sesiones</x:t>
  </x:si>
  <x:si>
    <x:t xml:space="preserve">Ruta/archivo y versión DWSIM registrados</x:t>
  </x:si>
  <x:si>
    <x:t xml:space="preserve">URS-008</x:t>
  </x:si>
  <x:si>
    <x:t xml:space="preserve">Supuestos y limitaciones están documentados</x:t>
  </x:si>
  <x:si>
    <x:t xml:space="preserve">Revisión del informe</x:t>
  </x:si>
  <x:si>
    <x:t xml:space="preserve">Sección explícita de supuestos/limitaciones</x:t>
  </x:si>
  <x:si>
    <x:t xml:space="preserve">El informe contiene apartados de supuestos y limitaciones, incluida la limitación de la comparación energética</x:t>
  </x:si>
  <x:si>
    <x:t xml:space="preserve">Registro de 24 sesiones</x:t>
  </x:si>
  <x:si>
    <x:t xml:space="preserve">Una sesión = 60 minutos. Cierra cada sesión guardando un archivo o evidencia visible.</x:t>
  </x:si>
  <x:si>
    <x:t xml:space="preserve">Sesión</x:t>
  </x:si>
  <x:si>
    <x:t xml:space="preserve">Fase</x:t>
  </x:si>
  <x:si>
    <x:t xml:space="preserve">Objetivo</x:t>
  </x:si>
  <x:si>
    <x:t xml:space="preserve">Minutos</x:t>
  </x:si>
  <x:si>
    <x:t xml:space="preserve">Fecha</x:t>
  </x:si>
  <x:si>
    <x:t xml:space="preserve">Archivo/evidencia</x:t>
  </x:si>
  <x:si>
    <x:t xml:space="preserve">Duda o decisión</x:t>
  </x:si>
  <x:si>
    <x:t xml:space="preserve">Preparación</x:t>
  </x:si>
  <x:si>
    <x:t xml:space="preserve">Instalar apps y crear estructura</x:t>
  </x:si>
  <x:si>
    <x:t xml:space="preserve">HECHO</x:t>
  </x:si>
  <x:si>
    <x:t xml:space="preserve">DWSIM básico</x:t>
  </x:si>
  <x:si>
    <x:t xml:space="preserve">Primera simulación oficial</x:t>
  </x:si>
  <x:si>
    <x:t xml:space="preserve">Tutorial Heater</x:t>
  </x:si>
  <x:si>
    <x:t xml:space="preserve">Tutorial Flash oficial</x:t>
  </x:si>
  <x:si>
    <x:t xml:space="preserve">feed introducido en mass fraction 05 05 </x:t>
  </x:si>
  <x:si>
    <x:t xml:space="preserve">Definición</x:t>
  </x:si>
  <x:si>
    <x:t xml:space="preserve">Cerrar brief y criterios</x:t>
  </x:si>
  <x:si>
    <x:t xml:space="preserve">Excel</x:t>
  </x:si>
  <x:si>
    <x:t xml:space="preserve">Configurar Entradas y balance</x:t>
  </x:si>
  <x:si>
    <x:t xml:space="preserve">DWSIM proyecto</x:t>
  </x:si>
  <x:si>
    <x:t xml:space="preserve">Construir Feed y H-1</x:t>
  </x:si>
  <x:si>
    <x:t xml:space="preserve">Añadir SEP-1 y resolver</x:t>
  </x:si>
  <x:si>
    <x:t xml:space="preserve">Verificación</x:t>
  </x:si>
  <x:si>
    <x:t xml:space="preserve">Auditar el caso base</x:t>
  </x:si>
  <x:si>
    <x:t xml:space="preserve">82 y 84C quedan en fase líquida, 86 y 87C son bifase.</x:t>
  </x:si>
  <x:si>
    <x:t xml:space="preserve">Sensibilidad</x:t>
  </x:si>
  <x:si>
    <x:t xml:space="preserve">Casos 82–86 °C</x:t>
  </x:si>
  <x:si>
    <x:t xml:space="preserve">Casos_flash: F-01 a F-03 completos</x:t>
  </x:si>
  <x:si>
    <x:t xml:space="preserve">Casos 87–92 °C</x:t>
  </x:si>
  <x:si>
    <x:t xml:space="preserve">Casos_flash: F-04 a F-07 completos</x:t>
  </x:si>
  <x:si>
    <x:t xml:space="preserve">Crear gráficos</x:t>
  </x:si>
  <x:si>
    <x:t xml:space="preserve">Graf_Recuperacion_Pureza y Graf_Energia; 2 PNG</x:t>
  </x:si>
  <x:si>
    <x:t xml:space="preserve">Análisis</x:t>
  </x:si>
  <x:si>
    <x:t xml:space="preserve">Interpretar tendencias</x:t>
  </x:si>
  <x:si>
    <x:t xml:space="preserve">P1_S13_interpretacion_v01.docx</x:t>
  </x:si>
  <x:si>
    <x:t xml:space="preserve">Documentación</x:t>
  </x:si>
  <x:si>
    <x:t xml:space="preserve">Redactar método y supuestos</x:t>
  </x:si>
  <x:si>
    <x:t xml:space="preserve">Destilación opcional</x:t>
  </x:si>
  <x:si>
    <x:t xml:space="preserve">Estudiar tutorial de columna</x:t>
  </x:si>
  <x:si>
    <x:t xml:space="preserve">Construir columna</x:t>
  </x:si>
  <x:si>
    <x:t xml:space="preserve">Convergencia y casos</x:t>
  </x:si>
  <x:si>
    <x:t xml:space="preserve">Comparación</x:t>
  </x:si>
  <x:si>
    <x:t xml:space="preserve">Flash frente a columna</x:t>
  </x:si>
  <x:si>
    <x:t xml:space="preserve">Seguridad</x:t>
  </x:si>
  <x:si>
    <x:t xml:space="preserve">Definir nodos y desviaciones</x:t>
  </x:si>
  <x:si>
    <x:t xml:space="preserve">Completar HAZOP educativo</x:t>
  </x:si>
  <x:si>
    <x:t xml:space="preserve">Calidad</x:t>
  </x:si>
  <x:si>
    <x:t xml:space="preserve">Completar requisitos y pruebas</x:t>
  </x:si>
  <x:si>
    <x:t xml:space="preserve">Informe</x:t>
  </x:si>
  <x:si>
    <x:t xml:space="preserve">Resultados y discusión</x:t>
  </x:si>
  <x:si>
    <x:t xml:space="preserve">Resumen, límites y conclusiones</x:t>
  </x:si>
  <x:si>
    <x:t xml:space="preserve">Portfolio</x:t>
  </x:si>
  <x:si>
    <x:t xml:space="preserve">QA final y material de candidatura</x:t>
  </x:si>
  <x:si>
    <x:t xml:space="preserve">Fuentes oficiales</x:t>
  </x:si>
  <x:si>
    <x:t xml:space="preserve">Consulta estas páginas; registra la fecha de acceso en tu informe final.</x:t>
  </x:si>
  <x:si>
    <x:t xml:space="preserve">Tema</x:t>
  </x:si>
  <x:si>
    <x:t xml:space="preserve">Organización</x:t>
  </x:si>
  <x:si>
    <x:t xml:space="preserve">URL</x:t>
  </x:si>
  <x:si>
    <x:t xml:space="preserve">Uso en el proyecto</x:t>
  </x:si>
  <x:si>
    <x:t xml:space="preserve">Descarga DWSIM</x:t>
  </x:si>
  <x:si>
    <x:t xml:space="preserve">DWSIM</x:t>
  </x:si>
  <x:si>
    <x:t xml:space="preserve">https://dwsim.org/index.php/download/</x:t>
  </x:si>
  <x:si>
    <x:t xml:space="preserve">Instalación de la release open-source</x:t>
  </x:si>
  <x:si>
    <x:t xml:space="preserve">Primera simulación</x:t>
  </x:si>
  <x:si>
    <x:t xml:space="preserve">DWSIM Tutorials</x:t>
  </x:si>
  <x:si>
    <x:t xml:space="preserve">https://dwsim.org/tutorials/en/beginner/01-your-first-simulation.html</x:t>
  </x:si>
  <x:si>
    <x:t xml:space="preserve">Configuración y Classic UI</x:t>
  </x:si>
  <x:si>
    <x:t xml:space="preserve">Heater</x:t>
  </x:si>
  <x:si>
    <x:t xml:space="preserve">https://dwsim.org/tutorials/en/beginner/03-heater-cooler.html</x:t>
  </x:si>
  <x:si>
    <x:t xml:space="preserve">Conexión y heat duty</x:t>
  </x:si>
  <x:si>
    <x:t xml:space="preserve">Flash agua/etanol</x:t>
  </x:si>
  <x:si>
    <x:t xml:space="preserve">https://dwsim.org/tutorials/en/beginner/04-simple-flash-drum.html</x:t>
  </x:si>
  <x:si>
    <x:t xml:space="preserve">NRTL, separator y validación</x:t>
  </x:si>
  <x:si>
    <x:t xml:space="preserve">Columna</x:t>
  </x:si>
  <x:si>
    <x:t xml:space="preserve">https://dwsim.org/tutorials/en/intermediate/01-distillation-column.html</x:t>
  </x:si>
  <x:si>
    <x:t xml:space="preserve">Extensión opcional</x:t>
  </x:si>
  <x:si>
    <x:t xml:space="preserve">Troubleshooting</x:t>
  </x:si>
  <x:si>
    <x:t xml:space="preserve">https://dwsim.org/tutorials/en/reference/troubleshooting.html</x:t>
  </x:si>
  <x:si>
    <x:t xml:space="preserve">Resolver errores y convergencia</x:t>
  </x:si>
  <x:si>
    <x:t xml:space="preserve">Proceso seguro / HAZOP</x:t>
  </x:si>
  <x:si>
    <x:t xml:space="preserve">OSHA</x:t>
  </x:si>
  <x:si>
    <x:t xml:space="preserve">https://www.osha.gov/laws-regs/regulations/standardnumber/1910/1910.119</x:t>
  </x:si>
  <x:si>
    <x:t xml:space="preserve">Estructura educativa de análisis de desviaciones</x:t>
  </x:si>
  <x:si>
    <x:t xml:space="preserve">Qualification &amp; Validation</x:t>
  </x:si>
  <x:si>
    <x:t xml:space="preserve">European Commission</x:t>
  </x:si>
  <x:si>
    <x:t xml:space="preserve">https://health.ec.europa.eu/medicinal-products/eudralex/eudralex-volume-4_en</x:t>
  </x:si>
  <x:si>
    <x:t xml:space="preserve">Contexto de Annex 15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</x:si>
</x:sst>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0"/>
    <x:numFmt numFmtId="166" formatCode="0.000"/>
    <x:numFmt numFmtId="167" formatCode="yyyy\-mm\-dd"/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0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1"/>
      <x:color rgb="FFFFFFFF"/>
      <x:name val="Carlito"/>
    </x:font>
    <x:font>
      <x:sz val="10"/>
      <x:color rgb="FF7F6000"/>
      <x:name val="Carlito"/>
    </x:font>
    <x:font>
      <x:b/>
      <x:sz val="10"/>
      <x:color rgb="FF1F4E79"/>
      <x:name val="Carlito"/>
    </x:font>
    <x:font>
      <x:sz val="10"/>
      <x:name val="Arial Unicode MS"/>
    </x:font>
    <x:font>
      <x:b/>
      <x:sz val="10"/>
      <x:color theme="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0F6B6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theme="0"/>
      </x:patternFill>
    </x:fill>
  </x:fills>
  <x:borders count="2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9DC3E6"/>
      </x:left>
      <x:right style="thin">
        <x:color rgb="FF9DC3E6"/>
      </x:right>
      <x:top style="thin">
        <x:color rgb="FF9DC3E6"/>
      </x:top>
      <x:bottom style="thin">
        <x:color rgb="FFD9E1E8"/>
      </x:bottom>
    </x:border>
    <x:border>
      <x:left style="thin">
        <x:color rgb="FF9DC3E6"/>
      </x:left>
      <x:right style="thin">
        <x:color rgb="FF9DC3E6"/>
      </x:right>
      <x:top style="thin">
        <x:color rgb="FFD9E1E8"/>
      </x:top>
      <x:bottom style="thin">
        <x:color rgb="FF9DC3E6"/>
      </x:bottom>
    </x:border>
    <x:border>
      <x:left style="thin">
        <x:color rgb="FF9DC3E6"/>
      </x:left>
      <x:right style="thin">
        <x:color rgb="FF9DC3E6"/>
      </x:right>
      <x:top style="thin">
        <x:color rgb="FFD9E1E8"/>
      </x:top>
      <x:bottom style="thin">
        <x:color rgb="FFD9E1E8"/>
      </x:bottom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9DC3E6"/>
      </x:left>
      <x:top style="thin">
        <x:color rgb="FF9DC3E6"/>
      </x:top>
      <x:bottom style="thin">
        <x:color rgb="FFD9E1E8"/>
      </x:bottom>
    </x:border>
    <x:border>
      <x:right style="thin">
        <x:color rgb="FF9DC3E6"/>
      </x:right>
      <x:top style="thin">
        <x:color rgb="FF9DC3E6"/>
      </x:top>
      <x:bottom style="thin">
        <x:color rgb="FFD9E1E8"/>
      </x:bottom>
    </x:border>
    <x:border>
      <x:left style="thin">
        <x:color rgb="FF9DC3E6"/>
      </x:left>
      <x:top style="thin">
        <x:color rgb="FFD9E1E8"/>
      </x:top>
      <x:bottom style="thin">
        <x:color rgb="FF9DC3E6"/>
      </x:bottom>
    </x:border>
    <x:border>
      <x:right style="thin">
        <x:color rgb="FF9DC3E6"/>
      </x:right>
      <x:top style="thin">
        <x:color rgb="FFD9E1E8"/>
      </x:top>
      <x:bottom style="thin">
        <x:color rgb="FF9DC3E6"/>
      </x:bottom>
    </x:border>
    <x:border>
      <x:top style="thin">
        <x:color rgb="FF9DC3E6"/>
      </x:top>
      <x:bottom style="thin">
        <x:color rgb="FFD9E1E8"/>
      </x:bottom>
    </x:border>
    <x:border>
      <x:left style="thin">
        <x:color rgb="FF9DC3E6"/>
      </x:left>
      <x:top style="thin">
        <x:color rgb="FFD9E1E8"/>
      </x:top>
      <x:bottom style="thin">
        <x:color rgb="FFD9E1E8"/>
      </x:bottom>
    </x:border>
    <x:border>
      <x:right style="thin">
        <x:color rgb="FF9DC3E6"/>
      </x:righ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9DC3E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7" fillId="6" borderId="3" xfId="0" applyFont="1" applyFill="1" applyBorder="1" applyAlignment="1">
      <x:alignment vertical="center" wrapText="1"/>
    </x:xf>
    <x:xf numFmtId="0" fontId="7" fillId="6" borderId="10" xfId="0" applyFont="1" applyFill="1" applyBorder="1" applyAlignment="1">
      <x:alignment vertical="center" wrapText="1"/>
    </x:xf>
    <x:xf numFmtId="0" fontId="7" fillId="6" borderId="12" xfId="0" applyFont="1" applyFill="1" applyBorder="1" applyAlignment="1">
      <x:alignment vertical="center" wrapText="1"/>
    </x:xf>
    <x:xf numFmtId="0" fontId="4" fillId="7" borderId="3" xfId="0" applyFont="1" applyFill="1" applyBorder="1" applyAlignment="1">
      <x:alignment vertical="center" wrapText="1"/>
    </x:xf>
    <x:xf numFmtId="164" fontId="7" fillId="6" borderId="11" xfId="0" applyNumberFormat="1" applyFont="1" applyFill="1" applyBorder="1" applyAlignment="1">
      <x:alignment vertical="center" wrapText="1"/>
    </x:xf>
    <x:xf numFmtId="164" fontId="4" fillId="7" borderId="3" xfId="0" applyNumberFormat="1" applyFont="1" applyFill="1" applyBorder="1" applyAlignment="1">
      <x:alignment vertical="center" wrapText="1"/>
    </x:xf>
    <x:xf numFmtId="164" fontId="7" fillId="6" borderId="12" xfId="0" applyNumberFormat="1" applyFont="1" applyFill="1" applyBorder="1" applyAlignment="1">
      <x:alignment vertical="center" wrapText="1"/>
    </x:xf>
    <x:xf numFmtId="0" fontId="4" fillId="7" borderId="2" xfId="0" applyFont="1" applyFill="1" applyBorder="1" applyAlignment="1">
      <x:alignment vertical="center" wrapText="1"/>
    </x:xf>
    <x:xf numFmtId="0" fontId="7" fillId="6" borderId="15" xfId="0" applyFont="1" applyFill="1" applyBorder="1" applyAlignment="1">
      <x:alignment vertical="center" wrapText="1"/>
    </x:xf>
    <x:xf numFmtId="0" fontId="7" fillId="6" borderId="16" xfId="0" applyFont="1" applyFill="1" applyBorder="1" applyAlignment="1">
      <x:alignment vertical="center" wrapText="1"/>
    </x:xf>
    <x:xf numFmtId="0" fontId="7" fillId="6" borderId="17" xfId="0" applyFont="1" applyFill="1" applyBorder="1" applyAlignment="1">
      <x:alignment vertical="center" wrapText="1"/>
    </x:xf>
    <x:xf numFmtId="0" fontId="7" fillId="6" borderId="18" xfId="0" applyFont="1" applyFill="1" applyBorder="1" applyAlignment="1">
      <x:alignment vertical="center" wrapText="1"/>
    </x:xf>
    <x:xf numFmtId="165" fontId="4" fillId="7" borderId="2" xfId="0" applyNumberFormat="1" applyFont="1" applyFill="1" applyBorder="1" applyAlignment="1">
      <x:alignment vertical="center" wrapText="1"/>
    </x:xf>
    <x:xf numFmtId="165" fontId="7" fillId="6" borderId="16" xfId="0" applyNumberFormat="1" applyFont="1" applyFill="1" applyBorder="1" applyAlignment="1">
      <x:alignment vertical="center" wrapText="1"/>
    </x:xf>
    <x:xf numFmtId="165" fontId="4" fillId="7" borderId="3" xfId="0" applyNumberFormat="1" applyFont="1" applyFill="1" applyBorder="1" applyAlignment="1">
      <x:alignment vertical="center" wrapText="1"/>
    </x:xf>
    <x:xf numFmtId="165" fontId="7" fillId="6" borderId="18" xfId="0" applyNumberFormat="1" applyFont="1" applyFill="1" applyBorder="1" applyAlignment="1">
      <x:alignment vertical="center" wrapText="1"/>
    </x:xf>
    <x:xf numFmtId="166" fontId="4" fillId="7" borderId="2" xfId="0" applyNumberFormat="1" applyFont="1" applyFill="1" applyBorder="1" applyAlignment="1">
      <x:alignment vertical="center" wrapText="1"/>
    </x:xf>
    <x:xf numFmtId="166" fontId="7" fillId="6" borderId="15" xfId="0" applyNumberFormat="1" applyFont="1" applyFill="1" applyBorder="1" applyAlignment="1">
      <x:alignment vertical="center" wrapText="1"/>
    </x:xf>
    <x:xf numFmtId="166" fontId="7" fillId="6" borderId="17" xfId="0" applyNumberFormat="1" applyFont="1" applyFill="1" applyBorder="1" applyAlignment="1">
      <x:alignment vertical="center" wrapText="1"/>
    </x:xf>
    <x:xf numFmtId="166" fontId="4" fillId="7" borderId="3" xfId="0" applyNumberFormat="1" applyFont="1" applyFill="1" applyBorder="1" applyAlignment="1">
      <x:alignment vertical="center" wrapText="1"/>
    </x:xf>
    <x:xf numFmtId="10" fontId="4" fillId="7" borderId="2" xfId="0" applyNumberFormat="1" applyFont="1" applyFill="1" applyBorder="1" applyAlignment="1">
      <x:alignment vertical="center" wrapText="1"/>
    </x:xf>
    <x:xf numFmtId="10" fontId="4" fillId="7" borderId="3" xfId="0" applyNumberFormat="1" applyFont="1" applyFill="1" applyBorder="1" applyAlignment="1">
      <x:alignment vertical="center" wrapText="1"/>
    </x:xf>
    <x:xf numFmtId="164" fontId="4" fillId="7" borderId="2" xfId="0" applyNumberFormat="1" applyFont="1" applyFill="1" applyBorder="1" applyAlignment="1">
      <x:alignment vertical="center" wrapText="1"/>
    </x:xf>
    <x:xf numFmtId="0" fontId="7" fillId="6" borderId="19" xfId="0" applyFont="1" applyFill="1" applyBorder="1" applyAlignment="1">
      <x:alignment vertical="center" wrapText="1"/>
    </x:xf>
    <x:xf numFmtId="0" fontId="7" fillId="6" borderId="20" xfId="0" applyFont="1" applyFill="1" applyBorder="1" applyAlignment="1">
      <x:alignment vertical="center" wrapText="1"/>
    </x:xf>
    <x:xf numFmtId="0" fontId="7" fillId="6" borderId="21" xfId="0" applyFont="1" applyFill="1" applyBorder="1" applyAlignment="1">
      <x:alignment vertical="center" wrapText="1"/>
    </x:xf>
    <x:xf numFmtId="0" fontId="7" fillId="6" borderId="22" xfId="0" applyFont="1" applyFill="1" applyBorder="1" applyAlignment="1">
      <x:alignment vertical="center" wrapText="1"/>
    </x:xf>
    <x:xf numFmtId="1" fontId="4" fillId="0" borderId="2" xfId="0" applyNumberFormat="1" applyFont="1" applyBorder="1" applyAlignment="1">
      <x:alignment vertical="center" wrapText="1"/>
    </x:xf>
    <x:xf numFmtId="1" fontId="4" fillId="0" borderId="3" xfId="0" applyNumberFormat="1" applyFont="1" applyBorder="1" applyAlignment="1">
      <x:alignment vertical="center" wrapText="1"/>
    </x:xf>
    <x:xf numFmtId="166" fontId="7" fillId="6" borderId="20" xfId="0" applyNumberFormat="1" applyFont="1" applyFill="1" applyBorder="1" applyAlignment="1">
      <x:alignment vertical="center" wrapText="1"/>
    </x:xf>
    <x:xf numFmtId="165" fontId="7" fillId="6" borderId="19" xfId="0" applyNumberFormat="1" applyFont="1" applyFill="1" applyBorder="1" applyAlignment="1">
      <x:alignment vertical="center" wrapText="1"/>
    </x:xf>
    <x:xf numFmtId="165" fontId="7" fillId="6" borderId="3" xfId="0" applyNumberFormat="1" applyFont="1" applyFill="1" applyBorder="1" applyAlignment="1">
      <x:alignment vertical="center" wrapText="1"/>
    </x:xf>
    <x:xf numFmtId="165" fontId="7" fillId="6" borderId="22" xfId="0" applyNumberFormat="1" applyFont="1" applyFill="1" applyBorder="1" applyAlignment="1">
      <x:alignment vertical="center" wrapText="1"/>
    </x:xf>
    <x:xf numFmtId="166" fontId="7" fillId="6" borderId="19" xfId="0" applyNumberFormat="1" applyFont="1" applyFill="1" applyBorder="1" applyAlignment="1">
      <x:alignment vertical="center" wrapText="1"/>
    </x:xf>
    <x:xf numFmtId="166" fontId="7" fillId="6" borderId="3" xfId="0" applyNumberFormat="1" applyFont="1" applyFill="1" applyBorder="1" applyAlignment="1">
      <x:alignment vertical="center" wrapText="1"/>
    </x:xf>
    <x:xf numFmtId="166" fontId="7" fillId="6" borderId="22" xfId="0" applyNumberFormat="1" applyFont="1" applyFill="1" applyBorder="1" applyAlignment="1">
      <x:alignment vertical="center" wrapText="1"/>
    </x:xf>
    <x:xf numFmtId="166" fontId="7" fillId="6" borderId="16" xfId="0" applyNumberFormat="1" applyFont="1" applyFill="1" applyBorder="1" applyAlignment="1">
      <x:alignment vertical="center" wrapText="1"/>
    </x:xf>
    <x:xf numFmtId="166" fontId="7" fillId="6" borderId="21" xfId="0" applyNumberFormat="1" applyFont="1" applyFill="1" applyBorder="1" applyAlignment="1">
      <x:alignment vertical="center" wrapText="1"/>
    </x:xf>
    <x:xf numFmtId="166" fontId="7" fillId="6" borderId="18" xfId="0" applyNumberFormat="1" applyFont="1" applyFill="1" applyBorder="1" applyAlignment="1">
      <x:alignment vertical="center" wrapText="1"/>
    </x:xf>
    <x:xf numFmtId="167" fontId="7" fillId="6" borderId="19" xfId="0" applyNumberFormat="1" applyFont="1" applyFill="1" applyBorder="1" applyAlignment="1">
      <x:alignment vertical="center" wrapText="1"/>
    </x:xf>
    <x:xf numFmtId="167" fontId="7" fillId="6" borderId="3" xfId="0" applyNumberFormat="1" applyFont="1" applyFill="1" applyBorder="1" applyAlignment="1">
      <x:alignment vertical="center" wrapText="1"/>
    </x:xf>
    <x:xf numFmtId="167" fontId="7" fillId="6" borderId="22" xfId="0" applyNumberFormat="1" applyFont="1" applyFill="1" applyBorder="1" applyAlignment="1">
      <x:alignment vertical="center" wrapText="1"/>
    </x:xf>
    <x:xf numFmtId="0" fontId="8" fillId="0" borderId="0" xfId="0" applyFont="1"/>
    <x:xf numFmtId="165" fontId="9" fillId="8" borderId="3" xfId="0" applyNumberFormat="1" applyFont="1" applyFill="1" applyBorder="1" applyAlignment="1">
      <x:alignment vertical="center" wrapText="1"/>
    </x:xf>
    <x:xf numFmtId="0" fontId="8" fillId="0" borderId="0" xfId="0" applyFont="1" applyAlignment="1">
      <x:alignment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5" fillId="4" borderId="0" xfId="0" applyFont="1" applyFill="1" applyAlignment="1">
      <x:alignment vertical="center" wrapText="1"/>
    </x:xf>
    <x:xf numFmtId="0" fontId="4" fillId="0" borderId="2" xfId="0" applyFont="1" applyBorder="1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6" fillId="5" borderId="4" xfId="0" applyFont="1" applyFill="1" applyBorder="1" applyAlignment="1">
      <x:alignment vertical="center" wrapText="1"/>
    </x:xf>
    <x:xf numFmtId="0" fontId="6" fillId="5" borderId="5" xfId="0" applyFont="1" applyFill="1" applyBorder="1" applyAlignment="1">
      <x:alignment vertical="center" wrapText="1"/>
    </x:xf>
    <x:xf numFmtId="0" fontId="6" fillId="5" borderId="6" xfId="0" applyFont="1" applyFill="1" applyBorder="1" applyAlignment="1">
      <x:alignment vertical="center" wrapText="1"/>
    </x:xf>
    <x:xf numFmtId="0" fontId="6" fillId="5" borderId="7" xfId="0" applyFont="1" applyFill="1" applyBorder="1" applyAlignment="1">
      <x:alignment vertical="center" wrapText="1"/>
    </x:xf>
    <x:xf numFmtId="0" fontId="6" fillId="5" borderId="8" xfId="0" applyFont="1" applyFill="1" applyBorder="1" applyAlignment="1">
      <x:alignment vertical="center" wrapText="1"/>
    </x:xf>
    <x:xf numFmtId="0" fontId="6" fillId="5" borderId="9" xfId="0" applyFont="1" applyFill="1" applyBorder="1" applyAlignment="1">
      <x:alignment vertical="center" wrapText="1"/>
    </x:xf>
    <x:xf numFmtId="0" fontId="6" fillId="5" borderId="13" xfId="0" applyFont="1" applyFill="1" applyBorder="1" applyAlignment="1">
      <x:alignment vertical="center" wrapText="1"/>
    </x:xf>
    <x:xf numFmtId="0" fontId="6" fillId="5" borderId="0" xfId="0" applyFont="1" applyFill="1" applyAlignment="1">
      <x:alignment vertical="center" wrapText="1"/>
    </x:xf>
    <x:xf numFmtId="0" fontId="6" fillId="5" borderId="14" xfId="0" applyFont="1" applyFill="1" applyBorder="1" applyAlignment="1">
      <x:alignment vertical="center" wrapText="1"/>
    </x:xf>
    <x:xf numFmtId="0" fontId="3" fillId="8" borderId="1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200" fontId="7" fillId="6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5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  <x:dxf>
      <x:font>
        <x:color rgb="FF2E6B2E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050d01e7f4c94" /><Relationship Type="http://schemas.openxmlformats.org/officeDocument/2006/relationships/theme" Target="/xl/theme/theme1.xml" Id="Re6dc4c3056c54656" /><Relationship Type="http://schemas.openxmlformats.org/officeDocument/2006/relationships/sharedStrings" Target="/xl/sharedStrings.xml" Id="Rf1f6cb5f1d324768" /><Relationship Type="http://schemas.openxmlformats.org/officeDocument/2006/relationships/worksheet" Target="/xl/worksheets/sheet1.xml" Id="Raba1ce40cfae494b" /><Relationship Type="http://schemas.openxmlformats.org/officeDocument/2006/relationships/worksheet" Target="/xl/worksheets/sheet2.xml" Id="Rcb3097f4f19f48b0" /><Relationship Type="http://schemas.openxmlformats.org/officeDocument/2006/relationships/worksheet" Target="/xl/worksheets/sheet3.xml" Id="R3a9fea73e73f4125" /><Relationship Type="http://schemas.openxmlformats.org/officeDocument/2006/relationships/worksheet" Target="/xl/worksheets/sheet4.xml" Id="Rcce540d33e594f66" /><Relationship Type="http://schemas.openxmlformats.org/officeDocument/2006/relationships/worksheet" Target="/xl/worksheets/sheet5.xml" Id="R770daf866d3a4020" /><Relationship Type="http://schemas.openxmlformats.org/officeDocument/2006/relationships/worksheet" Target="/xl/worksheets/sheet6.xml" Id="Rcd2f79add8dd4082" /><Relationship Type="http://schemas.openxmlformats.org/officeDocument/2006/relationships/worksheet" Target="/xl/worksheets/sheet7.xml" Id="R805c194b284d41e3" /><Relationship Type="http://schemas.openxmlformats.org/officeDocument/2006/relationships/worksheet" Target="/xl/worksheets/sheet8.xml" Id="R4621b73aa0794da7" /><Relationship Type="http://schemas.openxmlformats.org/officeDocument/2006/relationships/worksheet" Target="/xl/worksheets/sheet9.xml" Id="R3620ec1c075c4af0" /><Relationship Type="http://schemas.openxmlformats.org/officeDocument/2006/relationships/worksheet" Target="/xl/worksheets/sheet10.xml" Id="Rc9cb606cfa164216" /><Relationship Type="http://schemas.openxmlformats.org/officeDocument/2006/relationships/worksheet" Target="/xl/worksheets/sheet11.xml" Id="R857e71a083434f4e" /><Relationship Type="http://schemas.openxmlformats.org/officeDocument/2006/relationships/worksheet" Target="/xl/worksheets/sheet12.xml" Id="Rd6954b07a0334b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5b2b69380243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70c692787e04610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Efecto de la temperatura en recuperación y pureza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Recuperación EtOH</c:v>
          </c:tx>
          <c:spPr>
            <a:ln xmlns:a="http://schemas.openxmlformats.org/drawingml/2006/main" w="23813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numRef>
              <c:f>Dashboard!$A$5:$A$11</c:f>
              <c:numCache>
                <c:formatCode>General</c:formatCode>
                <c:ptCount val="7"/>
                <c:pt idx="0">
                  <c:v>82</c:v>
                </c:pt>
                <c:pt idx="1">
                  <c:v>84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</c:numCache>
            </c:numRef>
          </c:cat>
          <c:val>
            <c:numRef>
              <c:f>Dashboard!$B$5:$B$11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0.34604182333333333</c:v>
                </c:pt>
                <c:pt idx="3">
                  <c:v>0.47952</c:v>
                </c:pt>
                <c:pt idx="4">
                  <c:v>0.5839966</c:v>
                </c:pt>
                <c:pt idx="5">
                  <c:v>0.7376159999999999</c:v>
                </c:pt>
                <c:pt idx="6">
                  <c:v>0.8531714</c:v>
                </c:pt>
              </c:numCache>
            </c:numRef>
          </c:val>
          <c:smooth val="0"/>
        </c:ser>
        <c:ser>
          <c:idx val="1"/>
          <c:order val="1"/>
          <c:tx>
            <c:v>Pureza vapor</c:v>
          </c:tx>
          <c:spPr>
            <a:ln xmlns:a="http://schemas.openxmlformats.org/drawingml/2006/main" w="23813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Dashboard!$A$5:$A$11</c:f>
              <c:numCache>
                <c:formatCode>General</c:formatCode>
                <c:ptCount val="7"/>
                <c:pt idx="0">
                  <c:v>82</c:v>
                </c:pt>
                <c:pt idx="1">
                  <c:v>84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</c:numCache>
            </c:numRef>
          </c:cat>
          <c:val>
            <c:numRef>
              <c:f>Dashboard!$C$5:$C$11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0.67367</c:v>
                </c:pt>
                <c:pt idx="3">
                  <c:v>0.648</c:v>
                </c:pt>
                <c:pt idx="4">
                  <c:v>0.62</c:v>
                </c:pt>
                <c:pt idx="5">
                  <c:v>0.5588</c:v>
                </c:pt>
                <c:pt idx="6">
                  <c:v>0.4854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Temperatura de salida H-1 (°C)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9E2F3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Fracción de etanol / recuperación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%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es val="autoZero"/>
        <c:crossBetween val="between"/>
        <c:majorUnit val="0.1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Energía específica frente a temperatura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Energía específica</c:v>
          </c:tx>
          <c:spPr>
            <a:ln xmlns:a="http://schemas.openxmlformats.org/drawingml/2006/main" w="23813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Dashboard!$A$7:$A$11</c:f>
              <c:numCache>
                <c:formatCode>General</c:formatCode>
                <c:ptCount val="5"/>
                <c:pt idx="0">
                  <c:v>86</c:v>
                </c:pt>
                <c:pt idx="1">
                  <c:v>87</c:v>
                </c:pt>
                <c:pt idx="2">
                  <c:v>88</c:v>
                </c:pt>
                <c:pt idx="3">
                  <c:v>90</c:v>
                </c:pt>
                <c:pt idx="4">
                  <c:v>92</c:v>
                </c:pt>
              </c:numCache>
            </c:numRef>
          </c:cat>
          <c:val>
            <c:numRef>
              <c:f>Dashboard!$D$7:$D$11</c:f>
              <c:numCache>
                <c:formatCode>0.000</c:formatCode>
                <c:ptCount val="5"/>
                <c:pt idx="0">
                  <c:v>1.3206496128064367</c:v>
                </c:pt>
                <c:pt idx="1">
                  <c:v>1.1483705928150372</c:v>
                </c:pt>
                <c:pt idx="2">
                  <c:v>1.0976091299161674</c:v>
                </c:pt>
                <c:pt idx="3">
                  <c:v>1.1279581787813715</c:v>
                </c:pt>
                <c:pt idx="4">
                  <c:v>1.2584419340201356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Temperatura de salida H-1 (°C)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.4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E2F0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kWh/kg EtOH recuperado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es val="autoZero"/>
        <c:crossBetween val="between"/>
        <c:majorUnit val="0.05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9144000" cy="5143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b2b693802436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9144000" cy="5143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0c692787e0461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429321035942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39c814d0b813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24" customWidth="1"/>
    <x:col min="2" max="2" width="54" customWidth="1"/>
    <x:col min="3" max="3" width="3" customWidth="1"/>
    <x:col min="4" max="6" width="22" customWidth="1"/>
    <x:col min="7" max="8" width="12" customWidth="1"/>
  </x:cols>
  <x:sheetData>
    <x:row r="1" ht="34" customHeight="1">
      <x:c r="A1" s="49" t="str">
        <x:v>Proyecto 1 · Recuperación de etanol</x:v>
      </x:c>
      <x:c r="B1" s="49" t="s">
        <x:v>0</x:v>
      </x:c>
      <x:c r="C1" s="49" t="s">
        <x:v>0</x:v>
      </x:c>
      <x:c r="D1" s="49" t="s">
        <x:v>0</x:v>
      </x:c>
      <x:c r="E1" s="49" t="s">
        <x:v>0</x:v>
      </x:c>
      <x:c r="F1" s="49" t="s">
        <x:v>0</x:v>
      </x:c>
      <x:c r="G1" s="49" t="s">
        <x:v>0</x:v>
      </x:c>
      <x:c r="H1" s="49" t="s">
        <x:v>0</x:v>
      </x:c>
    </x:row>
    <x:row r="2" ht="30" customHeight="1">
      <x:c r="A2" s="50" t="str">
        <x:v>Estudio educativo de simulación de una mezcla agua–etanol; no constituye un diseño industrial.</x:v>
      </x:c>
      <x:c r="B2" s="50" t="s">
        <x:v>1</x:v>
      </x:c>
      <x:c r="C2" s="50" t="s">
        <x:v>1</x:v>
      </x:c>
      <x:c r="D2" s="50" t="s">
        <x:v>1</x:v>
      </x:c>
      <x:c r="E2" s="50" t="s">
        <x:v>1</x:v>
      </x:c>
      <x:c r="F2" s="50" t="s">
        <x:v>1</x:v>
      </x:c>
      <x:c r="G2" s="50" t="s">
        <x:v>1</x:v>
      </x:c>
      <x:c r="H2" s="50" t="s">
        <x:v>1</x:v>
      </x:c>
    </x:row>
    <x:row r="4" ht="26" customHeight="1">
      <x:c r="A4" s="1" t="str">
        <x:v>Alcance</x:v>
      </x:c>
      <x:c r="B4" s="1" t="str">
        <x:v>Descripción</x:v>
      </x:c>
      <x:c r="D4" s="51" t="str">
        <x:v>Resultados principales</x:v>
      </x:c>
      <x:c r="E4" s="51" t="s">
        <x:v>2</x:v>
      </x:c>
      <x:c r="F4" s="51" t="s">
        <x:v>2</x:v>
      </x:c>
    </x:row>
    <x:row r="5">
      <x:c r="A5" s="2" t="str">
        <x:v>Modelo principal</x:v>
      </x:c>
      <x:c r="B5" s="2" t="str">
        <x:v>Flash agua–etanol con calentamiento previo</x:v>
      </x:c>
      <x:c r="D5" s="52" t="str">
        <x:v>Caso de compromiso: 88 °C</x:v>
      </x:c>
      <x:c r="E5" s="52"/>
      <x:c r="F5" s="52"/>
    </x:row>
    <x:row r="6">
      <x:c r="A6" s="3" t="str">
        <x:v>Variable de estudio</x:v>
      </x:c>
      <x:c r="B6" s="3" t="str">
        <x:v>Temperatura de salida de H-1 (82–92 °C)</x:v>
      </x:c>
      <x:c r="D6" s="53" t="str">
        <x:v>Recuperación de etanol: 58,4 %</x:v>
      </x:c>
      <x:c r="E6" s="53"/>
      <x:c r="F6" s="53"/>
    </x:row>
    <x:row r="7">
      <x:c r="A7" s="3" t="str">
        <x:v>Indicadores</x:v>
      </x:c>
      <x:c r="B7" s="3" t="str">
        <x:v>Recuperación, pureza, energía específica y balances</x:v>
      </x:c>
      <x:c r="D7" s="53" t="str">
        <x:v>Pureza del vapor: 62,0 % masa</x:v>
      </x:c>
      <x:c r="E7" s="53"/>
      <x:c r="F7" s="53"/>
    </x:row>
    <x:row r="8">
      <x:c r="A8" s="3" t="str">
        <x:v>Extensión</x:v>
      </x:c>
      <x:c r="B8" s="3" t="str">
        <x:v>Columna de destilación (estudio educativo)</x:v>
      </x:c>
      <x:c r="D8" s="53" t="str">
        <x:v>Duty H-1: 19,23 kW</x:v>
      </x:c>
      <x:c r="E8" s="53"/>
      <x:c r="F8" s="53"/>
    </x:row>
    <x:row r="9">
      <x:c r="A9" s="3" t="str">
        <x:v>Seguridad</x:v>
      </x:c>
      <x:c r="B9" s="3" t="str">
        <x:v>HAZOP cualitativo</x:v>
      </x:c>
      <x:c r="D9" s="53" t="str">
        <x:v>Energía específica: 1,098 kWh/kg EtOH</x:v>
      </x:c>
      <x:c r="E9" s="53"/>
      <x:c r="F9" s="53"/>
    </x:row>
    <x:row r="10">
      <x:c r="A10" s="3" t="str">
        <x:v>Verificación</x:v>
      </x:c>
      <x:c r="B10" s="3" t="str">
        <x:v>URS y criterios de aceptación</x:v>
      </x:c>
      <x:c r="D10" s="53" t="str">
        <x:v>Balance total del caso base: 0,000 %</x:v>
      </x:c>
      <x:c r="E10" s="53"/>
      <x:c r="F10" s="53"/>
    </x:row>
    <x:row r="11">
      <x:c r="D11" s="53" t="str">
        <x:v>Modelo termodinámico: NRTL</x:v>
      </x:c>
      <x:c r="E11" s="53"/>
      <x:c r="F11" s="53"/>
    </x:row>
    <x:row r="13">
      <x:c r="A13" s="54" t="str">
        <x:v>La extensión de destilación utiliza una alimentación 50/50 molar distinta; su energía no se compara directamente con la del flash.</x:v>
      </x:c>
      <x:c r="B13" s="55" t="s">
        <x:v>3</x:v>
      </x:c>
      <x:c r="C13" s="55" t="s">
        <x:v>3</x:v>
      </x:c>
      <x:c r="D13" s="55" t="s">
        <x:v>3</x:v>
      </x:c>
      <x:c r="E13" s="55" t="s">
        <x:v>3</x:v>
      </x:c>
      <x:c r="F13" s="55" t="s">
        <x:v>3</x:v>
      </x:c>
      <x:c r="G13" s="55" t="s">
        <x:v>3</x:v>
      </x:c>
      <x:c r="H13" s="56" t="s">
        <x:v>3</x:v>
      </x:c>
    </x:row>
    <x:row r="14">
      <x:c r="A14" s="57" t="s">
        <x:v>3</x:v>
      </x:c>
      <x:c r="B14" s="58" t="s">
        <x:v>3</x:v>
      </x:c>
      <x:c r="C14" s="58" t="s">
        <x:v>3</x:v>
      </x:c>
      <x:c r="D14" s="58" t="s">
        <x:v>3</x:v>
      </x:c>
      <x:c r="E14" s="58" t="s">
        <x:v>3</x:v>
      </x:c>
      <x:c r="F14" s="58" t="s">
        <x:v>3</x:v>
      </x:c>
      <x:c r="G14" s="58" t="s">
        <x:v>3</x:v>
      </x:c>
      <x:c r="H14" s="59" t="s">
        <x:v>3</x:v>
      </x:c>
    </x:row>
    <x:row r="16" ht="34" customHeight="1">
      <x:c r="A16" s="1" t="str">
        <x:v>Entregable</x:v>
      </x:c>
      <x:c r="B16" s="1" t="str">
        <x:v>Contenido</x:v>
      </x:c>
    </x:row>
    <x:row r="17">
      <x:c r="A17" s="2" t="str">
        <x:v>Modelo flash DWSIM</x:v>
      </x:c>
      <x:c r="B17" s="2" t="str">
        <x:v>Análisis de sensibilidad entre 82 y 92 °C</x:v>
      </x:c>
    </x:row>
    <x:row r="18">
      <x:c r="A18" s="3" t="str">
        <x:v>Modelo de columna DWSIM</x:v>
      </x:c>
      <x:c r="B18" s="3" t="str">
        <x:v>Cinco casos convergidos</x:v>
      </x:c>
    </x:row>
    <x:row r="19">
      <x:c r="A19" s="3" t="str">
        <x:v>Libro de cálculo</x:v>
      </x:c>
      <x:c r="B19" s="3" t="str">
        <x:v>Balances, gráficos, HAZOP y verificación</x:v>
      </x:c>
    </x:row>
    <x:row r="20" ht="25">
      <x:c r="A20" s="3" t="str">
        <x:v>Informe técnico</x:v>
      </x:c>
      <x:c r="B20" s="3" t="str">
        <x:v>Resultados, discusión, limitaciones y conclusiones</x:v>
      </x:c>
    </x:row>
  </x:sheetData>
  <x:mergeCells>
    <x:mergeCell ref="A13:H14"/>
    <x:mergeCell ref="D7:F7"/>
    <x:mergeCell ref="D8:F8"/>
    <x:mergeCell ref="D9:F9"/>
    <x:mergeCell ref="D10:F10"/>
    <x:mergeCell ref="D11:F11"/>
    <x:mergeCell ref="A1:H1"/>
    <x:mergeCell ref="A2:H2"/>
    <x:mergeCell ref="D4:F4"/>
    <x:mergeCell ref="D5:F5"/>
    <x:mergeCell ref="D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34" customWidth="1"/>
    <x:col min="2" max="2" width="18" customWidth="1"/>
    <x:col min="3" max="3" width="14" customWidth="1"/>
    <x:col min="4" max="4" width="42" customWidth="1"/>
    <x:col min="5" max="6" width="12" customWidth="1"/>
  </x:cols>
  <x:sheetData>
    <x:row r="1" ht="34" customHeight="1">
      <x:c r="A1" s="49" t="s">
        <x:v>4</x:v>
      </x:c>
      <x:c r="B1" s="49" t="s">
        <x:v>4</x:v>
      </x:c>
      <x:c r="C1" s="49" t="s">
        <x:v>4</x:v>
      </x:c>
      <x:c r="D1" s="49" t="s">
        <x:v>4</x:v>
      </x:c>
      <x:c r="E1" s="49" t="s">
        <x:v>4</x:v>
      </x:c>
      <x:c r="F1" s="49" t="s">
        <x:v>4</x:v>
      </x:c>
    </x:row>
    <x:row r="2" ht="30" customHeight="1">
      <x:c r="A2" s="50" t="str">
        <x:v>Condiciones de alimentación y parámetros del modelo flash.</x:v>
      </x:c>
      <x:c r="B2" s="50" t="s">
        <x:v>5</x:v>
      </x:c>
      <x:c r="C2" s="50" t="s">
        <x:v>5</x:v>
      </x:c>
      <x:c r="D2" s="50" t="s">
        <x:v>5</x:v>
      </x:c>
      <x:c r="E2" s="50" t="s">
        <x:v>5</x:v>
      </x:c>
      <x:c r="F2" s="50" t="s">
        <x:v>5</x:v>
      </x:c>
    </x:row>
    <x:row r="4" ht="34" customHeight="1">
      <x:c r="A4" s="1" t="s">
        <x:v>6</x:v>
      </x:c>
      <x:c r="B4" s="1" t="s">
        <x:v>7</x:v>
      </x:c>
      <x:c r="C4" s="1" t="s">
        <x:v>8</x:v>
      </x:c>
      <x:c r="D4" s="1" t="s">
        <x:v>9</x:v>
      </x:c>
    </x:row>
    <x:row r="5">
      <x:c r="A5" s="2" t="s">
        <x:v>10</x:v>
      </x:c>
      <x:c r="B5" s="5">
        <x:v>100</x:v>
      </x:c>
      <x:c r="C5" s="2" t="s">
        <x:v>11</x:v>
      </x:c>
      <x:c r="D5" s="2" t="s">
        <x:v>12</x:v>
      </x:c>
    </x:row>
    <x:row r="6">
      <x:c r="A6" s="3" t="s">
        <x:v>13</x:v>
      </x:c>
      <x:c r="B6" s="8">
        <x:v>0.3</x:v>
      </x:c>
      <x:c r="C6" s="3" t="s">
        <x:v>14</x:v>
      </x:c>
      <x:c r="D6" s="3" t="s">
        <x:v>15</x:v>
      </x:c>
    </x:row>
    <x:row r="7">
      <x:c r="A7" s="3" t="s">
        <x:v>16</x:v>
      </x:c>
      <x:c r="B7" s="9" t="n">
        <x:f>1-B6</x:f>
        <x:v>0.7</x:v>
      </x:c>
      <x:c r="C7" s="3" t="s">
        <x:v>14</x:v>
      </x:c>
      <x:c r="D7" s="3" t="s">
        <x:v>17</x:v>
      </x:c>
    </x:row>
    <x:row r="8">
      <x:c r="A8" s="3" t="s">
        <x:v>18</x:v>
      </x:c>
      <x:c r="B8" s="5">
        <x:v>25</x:v>
      </x:c>
      <x:c r="C8" s="3" t="s">
        <x:v>19</x:v>
      </x:c>
      <x:c r="D8" s="3" t="s">
        <x:v>15</x:v>
      </x:c>
    </x:row>
    <x:row r="9">
      <x:c r="A9" s="3" t="s">
        <x:v>20</x:v>
      </x:c>
      <x:c r="B9" s="6">
        <x:v>1</x:v>
      </x:c>
      <x:c r="C9" s="3" t="s">
        <x:v>21</x:v>
      </x:c>
      <x:c r="D9" s="3" t="s">
        <x:v>22</x:v>
      </x:c>
    </x:row>
    <x:row r="10">
      <x:c r="A10" s="3" t="s">
        <x:v>23</x:v>
      </x:c>
      <x:c r="B10" s="6">
        <x:v>87</x:v>
      </x:c>
      <x:c r="C10" s="3" t="s">
        <x:v>19</x:v>
      </x:c>
      <x:c r="D10" s="3" t="str">
        <x:v>Caso base validado con dos fases</x:v>
      </x:c>
    </x:row>
    <x:row r="11">
      <x:c r="A11" s="3" t="s">
        <x:v>24</x:v>
      </x:c>
      <x:c r="B11" s="6">
        <x:v>0</x:v>
      </x:c>
      <x:c r="C11" s="3" t="s">
        <x:v>21</x:v>
      </x:c>
      <x:c r="D11" s="3" t="s">
        <x:v>25</x:v>
      </x:c>
    </x:row>
    <x:row r="12">
      <x:c r="A12" s="3" t="s">
        <x:v>26</x:v>
      </x:c>
      <x:c r="B12" s="10">
        <x:v>1</x:v>
      </x:c>
      <x:c r="C12" s="3" t="s">
        <x:v>27</x:v>
      </x:c>
      <x:c r="D12" s="3" t="s">
        <x:v>28</x:v>
      </x:c>
    </x:row>
    <x:row r="13">
      <x:c r="A13" s="3" t="s">
        <x:v>29</x:v>
      </x:c>
      <x:c r="B13" s="6" t="s">
        <x:v>30</x:v>
      </x:c>
      <x:c r="C13" s="3" t="s">
        <x:v>31</x:v>
      </x:c>
      <x:c r="D13" s="3" t="str">
        <x:v>Modelo de actividad para una mezcla líquida no ideal</x:v>
      </x:c>
    </x:row>
    <x:row r="14">
      <x:c r="A14" s="3" t="s">
        <x:v>32</x:v>
      </x:c>
      <x:c r="B14" s="6" t="s">
        <x:v>33</x:v>
      </x:c>
      <x:c r="C14" s="3" t="s">
        <x:v>31</x:v>
      </x:c>
      <x:c r="D14" s="3" t="str">
        <x:v>Base empleada en balances y corrientes de salida</x:v>
      </x:c>
    </x:row>
    <x:row r="15">
      <x:c r="A15" s="3" t="s">
        <x:v>34</x:v>
      </x:c>
      <x:c r="B15" s="6" t="s">
        <x:v>35</x:v>
      </x:c>
      <x:c r="C15" s="3" t="s">
        <x:v>31</x:v>
      </x:c>
      <x:c r="D15" s="3" t="str">
        <x:v>Componente más volátil</x:v>
      </x:c>
    </x:row>
    <x:row r="16">
      <x:c r="A16" s="3" t="s">
        <x:v>36</x:v>
      </x:c>
      <x:c r="B16" s="8">
        <x:v>5.0000000000000001E-3</x:v>
      </x:c>
      <x:c r="C16" s="3" t="s">
        <x:v>27</x:v>
      </x:c>
      <x:c r="D16" s="3" t="s">
        <x:v>37</x:v>
      </x:c>
    </x:row>
    <x:row r="18">
      <x:c r="A18" s="54" t="str">
        <x:v>Criterio de fase: los casos bifásicos cumplen 0 &lt; fracción de vapor &lt; 1; los límites monofásicos se conservan como resultados.</x:v>
      </x:c>
      <x:c r="B18" s="55" t="s">
        <x:v>38</x:v>
      </x:c>
      <x:c r="C18" s="55" t="s">
        <x:v>38</x:v>
      </x:c>
      <x:c r="D18" s="55" t="s">
        <x:v>38</x:v>
      </x:c>
      <x:c r="E18" s="55" t="s">
        <x:v>38</x:v>
      </x:c>
      <x:c r="F18" s="56" t="s">
        <x:v>38</x:v>
      </x:c>
    </x:row>
    <x:row r="19">
      <x:c r="A19" s="60" t="s">
        <x:v>38</x:v>
      </x:c>
      <x:c r="B19" s="61" t="s">
        <x:v>38</x:v>
      </x:c>
      <x:c r="C19" s="61" t="s">
        <x:v>38</x:v>
      </x:c>
      <x:c r="D19" s="61" t="s">
        <x:v>38</x:v>
      </x:c>
      <x:c r="E19" s="61" t="s">
        <x:v>38</x:v>
      </x:c>
      <x:c r="F19" s="62" t="s">
        <x:v>38</x:v>
      </x:c>
    </x:row>
    <x:row r="20">
      <x:c r="A20" s="57" t="s">
        <x:v>38</x:v>
      </x:c>
      <x:c r="B20" s="58" t="s">
        <x:v>38</x:v>
      </x:c>
      <x:c r="C20" s="58" t="s">
        <x:v>38</x:v>
      </x:c>
      <x:c r="D20" s="58" t="s">
        <x:v>38</x:v>
      </x:c>
      <x:c r="E20" s="58" t="s">
        <x:v>38</x:v>
      </x:c>
      <x:c r="F20" s="59" t="s">
        <x:v>38</x:v>
      </x:c>
    </x:row>
  </x:sheetData>
  <x:mergeCells>
    <x:mergeCell ref="A1:F1"/>
    <x:mergeCell ref="A2:F2"/>
    <x:mergeCell ref="A18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22" customWidth="1"/>
    <x:col min="2" max="6" width="19" customWidth="1"/>
    <x:col min="7" max="8" width="22" customWidth="1"/>
  </x:cols>
  <x:sheetData>
    <x:row r="1" ht="34" customHeight="1">
      <x:c r="A1" s="49" t="s">
        <x:v>39</x:v>
      </x:c>
      <x:c r="B1" s="49" t="s">
        <x:v>39</x:v>
      </x:c>
      <x:c r="C1" s="49" t="s">
        <x:v>39</x:v>
      </x:c>
      <x:c r="D1" s="49" t="s">
        <x:v>39</x:v>
      </x:c>
      <x:c r="E1" s="49" t="s">
        <x:v>39</x:v>
      </x:c>
      <x:c r="F1" s="49" t="s">
        <x:v>39</x:v>
      </x:c>
      <x:c r="G1" s="49" t="s">
        <x:v>39</x:v>
      </x:c>
      <x:c r="H1" s="49" t="s">
        <x:v>39</x:v>
      </x:c>
    </x:row>
    <x:row r="2" ht="30" customHeight="1">
      <x:c r="A2" s="50" t="str">
        <x:v>Balances de masa y componentes del caso base de 87 °C.</x:v>
      </x:c>
      <x:c r="B2" s="50" t="s">
        <x:v>40</x:v>
      </x:c>
      <x:c r="C2" s="50" t="s">
        <x:v>40</x:v>
      </x:c>
      <x:c r="D2" s="50" t="s">
        <x:v>40</x:v>
      </x:c>
      <x:c r="E2" s="50" t="s">
        <x:v>40</x:v>
      </x:c>
      <x:c r="F2" s="50" t="s">
        <x:v>40</x:v>
      </x:c>
      <x:c r="G2" s="50" t="s">
        <x:v>40</x:v>
      </x:c>
      <x:c r="H2" s="50" t="s">
        <x:v>40</x:v>
      </x:c>
    </x:row>
    <x:row r="4" ht="34" customHeight="1">
      <x:c r="A4" s="1" t="s">
        <x:v>41</x:v>
      </x:c>
      <x:c r="B4" s="1" t="s">
        <x:v>42</x:v>
      </x:c>
      <x:c r="C4" s="1" t="s">
        <x:v>43</x:v>
      </x:c>
      <x:c r="D4" s="1" t="s">
        <x:v>44</x:v>
      </x:c>
      <x:c r="E4" s="1" t="s">
        <x:v>45</x:v>
      </x:c>
      <x:c r="F4" s="1" t="s">
        <x:v>46</x:v>
      </x:c>
    </x:row>
    <x:row r="5">
      <x:c r="A5" s="2" t="s">
        <x:v>47</x:v>
      </x:c>
      <x:c r="B5" s="20" t="n">
        <x:f>Entradas!B5</x:f>
        <x:v>100</x:v>
      </x:c>
      <x:c r="C5" s="16" t="n">
        <x:f>Entradas!B6</x:f>
        <x:v>0.3</x:v>
      </x:c>
      <x:c r="D5" s="16" t="n">
        <x:f>Entradas!B7</x:f>
        <x:v>0.7</x:v>
      </x:c>
      <x:c r="E5" s="20" t="n">
        <x:f>B5*C5</x:f>
        <x:v>30</x:v>
      </x:c>
      <x:c r="F5" s="20" t="n">
        <x:f>B5*D5</x:f>
        <x:v>70</x:v>
      </x:c>
    </x:row>
    <x:row r="6">
      <x:c r="A6" s="3" t="s">
        <x:v>48</x:v>
      </x:c>
      <x:c r="B6">
        <x:v>22.2</x:v>
      </x:c>
      <x:c r="C6" s="17">
        <x:v>0.64800000000000002</x:v>
      </x:c>
      <x:c r="D6" s="18" t="n">
        <x:f>IF(C6="","",1-C6)</x:f>
        <x:v>0.352</x:v>
      </x:c>
      <x:c r="E6" s="23" t="n">
        <x:f>IF(OR(B6="",C6=""),"",B6*C6)</x:f>
        <x:v>14.3856</x:v>
      </x:c>
      <x:c r="F6" s="23" t="n">
        <x:f>IF(OR(B6="",D6=""),"",B6*D6)</x:f>
        <x:v>7.814399999999999</x:v>
      </x:c>
    </x:row>
    <x:row r="7">
      <x:c r="A7" s="3" t="s">
        <x:v>49</x:v>
      </x:c>
      <x:c r="B7" s="22">
        <x:v>77.8</x:v>
      </x:c>
      <x:c r="C7" s="19">
        <x:v>0.20064000000000001</x:v>
      </x:c>
      <x:c r="D7" s="18" t="n">
        <x:f>IF(C7="","",1-C7)</x:f>
        <x:v>0.79936</x:v>
      </x:c>
      <x:c r="E7" s="23" t="n">
        <x:f>IF(OR(B7="",C7=""),"",B7*C7)</x:f>
        <x:v>15.609792</x:v>
      </x:c>
      <x:c r="F7" s="23" t="n">
        <x:f>IF(OR(B7="",D7=""),"",B7*D7)</x:f>
        <x:v>62.19020799999999</x:v>
      </x:c>
    </x:row>
    <x:row r="10" ht="34" customHeight="1">
      <x:c r="A10" s="1" t="s">
        <x:v>50</x:v>
      </x:c>
      <x:c r="B10" s="1" t="s">
        <x:v>51</x:v>
      </x:c>
      <x:c r="C10" s="1" t="s">
        <x:v>52</x:v>
      </x:c>
      <x:c r="D10" s="1" t="s">
        <x:v>53</x:v>
      </x:c>
      <x:c r="F10" s="1" t="s">
        <x:v>54</x:v>
      </x:c>
      <x:c r="G10" s="1" t="s">
        <x:v>55</x:v>
      </x:c>
      <x:c r="H10" s="1" t="s">
        <x:v>56</x:v>
      </x:c>
    </x:row>
    <x:row r="11">
      <x:c r="A11" s="2" t="s">
        <x:v>57</x:v>
      </x:c>
      <x:c r="B11" s="11" t="n">
        <x:f>B5</x:f>
        <x:v>100</x:v>
      </x:c>
      <x:c r="C11" s="11" t="n">
        <x:f>IF(OR(B6="",B7=""),"",SUM(B6:B7))</x:f>
        <x:v>100</x:v>
      </x:c>
      <x:c r="D11" s="24" t="n">
        <x:f>IF(C11="","",IFERROR((C11-B11)/B11,""))</x:f>
        <x:v>0</x:v>
      </x:c>
      <x:c r="F11" s="2" t="s">
        <x:v>58</x:v>
      </x:c>
      <x:c r="G11" s="11" t="str">
        <x:f>IF(B11="","PENDIENTE",IF(ABS(D11)&lt;=Entradas!B16,"OK","REVISAR"))</x:f>
        <x:v>OK</x:v>
      </x:c>
      <x:c r="H11" s="26" t="n">
        <x:f>Entradas!B16</x:f>
        <x:v>0.005</x:v>
      </x:c>
    </x:row>
    <x:row r="12">
      <x:c r="A12" s="3" t="s">
        <x:v>59</x:v>
      </x:c>
      <x:c r="B12" s="7" t="n">
        <x:f>E5</x:f>
        <x:v>30</x:v>
      </x:c>
      <x:c r="C12" s="7" t="n">
        <x:f>IF(OR(E6="",E7=""),"",SUM(E6:E7))</x:f>
        <x:v>29.995392000000002</x:v>
      </x:c>
      <x:c r="D12" s="25" t="n">
        <x:f>IF(C12="","",IFERROR((C12-B12)/B12,""))</x:f>
        <x:v>-0.00015359999999991675</x:v>
      </x:c>
      <x:c r="F12" s="3" t="s">
        <x:v>60</x:v>
      </x:c>
      <x:c r="G12" s="7" t="str">
        <x:f>IF(D12="","PENDIENTE",IF(ABS(D12)&lt;=Entradas!B16,"OK","REVISAR"))</x:f>
        <x:v>OK</x:v>
      </x:c>
      <x:c r="H12" s="9" t="n">
        <x:f>Entradas!B16</x:f>
        <x:v>0.005</x:v>
      </x:c>
    </x:row>
    <x:row r="13">
      <x:c r="A13" s="3" t="s">
        <x:v>61</x:v>
      </x:c>
      <x:c r="B13" s="7" t="n">
        <x:f>F5</x:f>
        <x:v>70</x:v>
      </x:c>
      <x:c r="C13" s="7" t="n">
        <x:f>IF(OR(F6="",F7=""),"",SUM(F6:F7))</x:f>
        <x:v>70.00460799999999</x:v>
      </x:c>
      <x:c r="D13" s="25" t="n">
        <x:f>IF(C13="","",IFERROR((C13-B13)/B13,""))</x:f>
        <x:v>0.00006582857142843425</x:v>
      </x:c>
      <x:c r="F13" s="3" t="s">
        <x:v>62</x:v>
      </x:c>
      <x:c r="G13" s="7" t="str">
        <x:f>IF(D13="","PENDIENTE",IF(ABS(D13)&lt;=Entradas!B16,"OK","REVISAR"))</x:f>
        <x:v>OK</x:v>
      </x:c>
      <x:c r="H13" s="9" t="n">
        <x:f>Entradas!B16</x:f>
        <x:v>0.005</x:v>
      </x:c>
    </x:row>
    <x:row r="14">
      <x:c r="F14" s="3" t="s">
        <x:v>63</x:v>
      </x:c>
      <x:c r="G14" s="7" t="str">
        <x:f>IF(C6="","PENDIENTE",IF(C6&gt;C5,"OK","REVISAR"))</x:f>
        <x:v>OK</x:v>
      </x:c>
      <x:c r="H14" s="7" t="s">
        <x:v>64</x:v>
      </x:c>
    </x:row>
    <x:row r="16">
      <x:c r="A16" s="54" t="str">
        <x:v>Base de resultados: caudales en kg/h y composiciones expresadas como fracción másica.</x:v>
      </x:c>
      <x:c r="B16" s="55" t="s">
        <x:v>65</x:v>
      </x:c>
      <x:c r="C16" s="55" t="s">
        <x:v>65</x:v>
      </x:c>
      <x:c r="D16" s="55" t="s">
        <x:v>65</x:v>
      </x:c>
      <x:c r="E16" s="55" t="s">
        <x:v>65</x:v>
      </x:c>
      <x:c r="F16" s="55" t="s">
        <x:v>65</x:v>
      </x:c>
      <x:c r="G16" s="55" t="s">
        <x:v>65</x:v>
      </x:c>
      <x:c r="H16" s="56" t="s">
        <x:v>65</x:v>
      </x:c>
    </x:row>
    <x:row r="17">
      <x:c r="A17" s="60" t="s">
        <x:v>65</x:v>
      </x:c>
      <x:c r="B17" s="61" t="s">
        <x:v>65</x:v>
      </x:c>
      <x:c r="C17" s="61" t="s">
        <x:v>65</x:v>
      </x:c>
      <x:c r="D17" s="61" t="s">
        <x:v>65</x:v>
      </x:c>
      <x:c r="E17" s="61" t="s">
        <x:v>65</x:v>
      </x:c>
      <x:c r="F17" s="61" t="s">
        <x:v>65</x:v>
      </x:c>
      <x:c r="G17" s="61" t="s">
        <x:v>65</x:v>
      </x:c>
      <x:c r="H17" s="62" t="s">
        <x:v>65</x:v>
      </x:c>
    </x:row>
    <x:row r="18">
      <x:c r="A18" s="57" t="s">
        <x:v>65</x:v>
      </x:c>
      <x:c r="B18" s="58" t="s">
        <x:v>65</x:v>
      </x:c>
      <x:c r="C18" s="58" t="s">
        <x:v>65</x:v>
      </x:c>
      <x:c r="D18" s="58" t="s">
        <x:v>65</x:v>
      </x:c>
      <x:c r="E18" s="58" t="s">
        <x:v>65</x:v>
      </x:c>
      <x:c r="F18" s="58" t="s">
        <x:v>65</x:v>
      </x:c>
      <x:c r="G18" s="58" t="s">
        <x:v>65</x:v>
      </x:c>
      <x:c r="H18" s="59" t="s">
        <x:v>65</x:v>
      </x:c>
    </x:row>
  </x:sheetData>
  <x:mergeCells>
    <x:mergeCell ref="A1:H1"/>
    <x:mergeCell ref="A2:H2"/>
    <x:mergeCell ref="A16:H18"/>
  </x:mergeCells>
  <x:conditionalFormatting sqref="G11:G14">
    <x:cfRule type="containsText" dxfId="14" priority="1" operator="containsText" text="OK"/>
    <x:cfRule type="containsText" dxfId="13" priority="2" operator="containsText" text="REVISAR"/>
    <x:cfRule type="containsText" dxfId="12" priority="3" operator="containsText" text="PENDI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1" customWidth="1"/>
    <x:col min="2" max="3" width="16" customWidth="1"/>
    <x:col min="4" max="4" width="15" customWidth="1"/>
    <x:col min="5" max="5" width="16" customWidth="1"/>
    <x:col min="6" max="6" width="15" customWidth="1"/>
    <x:col min="7" max="7" width="16" customWidth="1"/>
    <x:col min="8" max="8" width="18" customWidth="1"/>
    <x:col min="9" max="9" width="17" customWidth="1"/>
    <x:col min="10" max="10" width="14" customWidth="1"/>
    <x:col min="11" max="11" width="22" customWidth="1"/>
    <x:col min="12" max="14" width="14" customWidth="1"/>
  </x:cols>
  <x:sheetData>
    <x:row r="1" ht="34" customHeight="1">
      <x:c r="A1" s="49" t="s">
        <x:v>66</x:v>
      </x:c>
      <x:c r="B1" s="49" t="s">
        <x:v>66</x:v>
      </x:c>
      <x:c r="C1" s="49" t="s">
        <x:v>66</x:v>
      </x:c>
      <x:c r="D1" s="49" t="s">
        <x:v>66</x:v>
      </x:c>
      <x:c r="E1" s="49" t="s">
        <x:v>66</x:v>
      </x:c>
      <x:c r="F1" s="49" t="s">
        <x:v>66</x:v>
      </x:c>
      <x:c r="G1" s="49" t="s">
        <x:v>66</x:v>
      </x:c>
      <x:c r="H1" s="49" t="s">
        <x:v>66</x:v>
      </x:c>
      <x:c r="I1" s="49" t="s">
        <x:v>66</x:v>
      </x:c>
      <x:c r="J1" s="49" t="s">
        <x:v>66</x:v>
      </x:c>
      <x:c r="K1" s="49" t="s">
        <x:v>66</x:v>
      </x:c>
      <x:c r="L1" s="49" t="s">
        <x:v>66</x:v>
      </x:c>
      <x:c r="M1" s="49" t="s">
        <x:v>66</x:v>
      </x:c>
      <x:c r="N1" s="49" t="s">
        <x:v>66</x:v>
      </x:c>
    </x:row>
    <x:row r="2" ht="30" customHeight="1">
      <x:c r="A2" s="50" t="str">
        <x:v>Resultados del análisis de sensibilidad frente a la temperatura de salida de H-1.</x:v>
      </x:c>
      <x:c r="B2" s="50" t="s">
        <x:v>67</x:v>
      </x:c>
      <x:c r="C2" s="50" t="s">
        <x:v>67</x:v>
      </x:c>
      <x:c r="D2" s="50" t="s">
        <x:v>67</x:v>
      </x:c>
      <x:c r="E2" s="50" t="s">
        <x:v>67</x:v>
      </x:c>
      <x:c r="F2" s="50" t="s">
        <x:v>67</x:v>
      </x:c>
      <x:c r="G2" s="50" t="s">
        <x:v>67</x:v>
      </x:c>
      <x:c r="H2" s="50" t="s">
        <x:v>67</x:v>
      </x:c>
      <x:c r="I2" s="50" t="s">
        <x:v>67</x:v>
      </x:c>
      <x:c r="J2" s="50" t="s">
        <x:v>67</x:v>
      </x:c>
      <x:c r="K2" s="50" t="s">
        <x:v>67</x:v>
      </x:c>
      <x:c r="L2" s="50" t="s">
        <x:v>67</x:v>
      </x:c>
      <x:c r="M2" s="50" t="s">
        <x:v>67</x:v>
      </x:c>
      <x:c r="N2" s="50" t="s">
        <x:v>67</x:v>
      </x:c>
    </x:row>
    <x:row r="4" ht="34" customHeight="1">
      <x:c r="A4" s="1" t="s">
        <x:v>68</x:v>
      </x:c>
      <x:c r="B4" s="1" t="s">
        <x:v>69</x:v>
      </x:c>
      <x:c r="C4" s="1" t="s">
        <x:v>70</x:v>
      </x:c>
      <x:c r="D4" s="1" t="s">
        <x:v>71</x:v>
      </x:c>
      <x:c r="E4" s="1" t="s">
        <x:v>72</x:v>
      </x:c>
      <x:c r="F4" s="1" t="s">
        <x:v>73</x:v>
      </x:c>
      <x:c r="G4" s="1" t="s">
        <x:v>74</x:v>
      </x:c>
      <x:c r="H4" s="1" t="s">
        <x:v>75</x:v>
      </x:c>
      <x:c r="I4" s="1" t="s">
        <x:v>76</x:v>
      </x:c>
      <x:c r="J4" s="1" t="s">
        <x:v>77</x:v>
      </x:c>
      <x:c r="K4" s="1" t="s">
        <x:v>78</x:v>
      </x:c>
      <x:c r="L4" s="1" t="s">
        <x:v>79</x:v>
      </x:c>
      <x:c r="M4" s="1" t="s">
        <x:v>80</x:v>
      </x:c>
      <x:c r="N4" s="1" t="s">
        <x:v>81</x:v>
      </x:c>
    </x:row>
    <x:row r="5">
      <x:c r="A5" s="2" t="s">
        <x:v>82</x:v>
      </x:c>
      <x:c r="B5" s="31">
        <x:v>82</x:v>
      </x:c>
      <x:c r="C5" s="21">
        <x:v>0</x:v>
      </x:c>
      <x:c r="D5" s="34"/>
      <x:c r="E5" s="37">
        <x:v>100</x:v>
      </x:c>
      <x:c r="F5" s="34">
        <x:v>0.3</x:v>
      </x:c>
      <x:c r="G5" s="40">
        <x:v>7.62</x:v>
      </x:c>
      <x:c r="H5" s="20" t="str">
        <x:f t="shared" ref="H5:H11" si="0">IF(OR(C5="",D5=""),"",C5*D5)</x:f>
      </x:c>
      <x:c r="I5" s="26" t="str">
        <x:f>IF(H5="","",IFERROR(H5/(Entradas!B5*Entradas!B6),""))</x:f>
      </x:c>
      <x:c r="J5" s="26" t="str">
        <x:f t="shared" ref="J5:J11" si="1">IF(D5="","",D5)</x:f>
      </x:c>
      <x:c r="K5" s="20" t="str">
        <x:f t="shared" ref="K5:K11" si="2">IFERROR(G5/H5,"")</x:f>
      </x:c>
      <x:c r="L5" s="24" t="str">
        <x:f>IF(OR(C5="",E5=""),"",IFERROR((C5+E5-Entradas!B5)/Entradas!B5,""))</x:f>
      </x:c>
      <x:c r="M5" s="24" t="str">
        <x:f>IF(OR(C5="",D5="",E5="",F5=""),"",IFERROR((C5*D5+E5*F5-Entradas!B5*Entradas!B6)/(Entradas!B5*Entradas!B6),""))</x:f>
      </x:c>
      <x:c r="N5" s="11" t="str">
        <x:f>IF(C5=0,"SIN VAPOR",IF(C5="","PENDIENTE",IF(MAX(ABS(L5),ABS(M5))&lt;=Entradas!$B$16,"OK","REVISAR")))</x:f>
        <x:v>SIN VAPOR</x:v>
      </x:c>
    </x:row>
    <x:row r="6">
      <x:c r="A6" s="3" t="s">
        <x:v>83</x:v>
      </x:c>
      <x:c r="B6" s="32">
        <x:v>84</x:v>
      </x:c>
      <x:c r="C6" s="33">
        <x:v>0</x:v>
      </x:c>
      <x:c r="D6" s="35"/>
      <x:c r="E6" s="38">
        <x:v>100</x:v>
      </x:c>
      <x:c r="F6" s="35">
        <x:v>0.3</x:v>
      </x:c>
      <x:c r="G6" s="41">
        <x:v>7.88</x:v>
      </x:c>
      <x:c r="H6" s="23" t="str">
        <x:f t="shared" si="0"/>
      </x:c>
      <x:c r="I6" s="9" t="str">
        <x:f>IF(H6="","",IFERROR(H6/(Entradas!B5*Entradas!B6),""))</x:f>
      </x:c>
      <x:c r="J6" s="9" t="str">
        <x:f t="shared" si="1"/>
      </x:c>
      <x:c r="K6" s="23" t="str">
        <x:f t="shared" si="2"/>
      </x:c>
      <x:c r="L6" s="25" t="str">
        <x:f>IF(OR(C6="",E6=""),"",IFERROR((C6+E6-Entradas!B5)/Entradas!B5,""))</x:f>
      </x:c>
      <x:c r="M6" s="25" t="str">
        <x:f>IF(OR(C6="",D6="",E6="",F6=""),"",IFERROR((C6*D6+E6*F6-Entradas!B5*Entradas!B6)/(Entradas!B5*Entradas!B6),""))</x:f>
      </x:c>
      <x:c r="N6" s="7" t="str">
        <x:f>IF(C6=0,"SIN VAPOR",IF(C6="","PENDIENTE",IF(MAX(ABS(L6),ABS(M6))&lt;=Entradas!$B$16,"OK","REVISAR")))</x:f>
        <x:v>SIN VAPOR</x:v>
      </x:c>
    </x:row>
    <x:row r="7">
      <x:c r="A7" s="3" t="s">
        <x:v>84</x:v>
      </x:c>
      <x:c r="B7" s="32">
        <x:v>86</x:v>
      </x:c>
      <x:c r="C7" s="33">
        <x:v>15.41</x:v>
      </x:c>
      <x:c r="D7" s="35">
        <x:v>0.67366999999999999</x:v>
      </x:c>
      <x:c r="E7" s="38">
        <x:v>84.59</x:v>
      </x:c>
      <x:c r="F7" s="35">
        <x:v>0.23191999999999999</x:v>
      </x:c>
      <x:c r="G7" s="41">
        <x:v>13.71</x:v>
      </x:c>
      <x:c r="H7" s="23">
        <x:f t="shared" si="0"/>
        <x:v>10.3812547</x:v>
      </x:c>
      <x:c r="I7" s="9" t="n">
        <x:f>IF(H7="","",IFERROR(H7/(Entradas!B5*Entradas!B6),""))</x:f>
        <x:v>0.34604182333333333</x:v>
      </x:c>
      <x:c r="J7" s="9">
        <x:f t="shared" si="1"/>
        <x:v>0.67366999999999999</x:v>
      </x:c>
      <x:c r="K7" s="23">
        <x:f t="shared" si="2"/>
        <x:v>1.3206496128064367</x:v>
      </x:c>
      <x:c r="L7" s="25" t="n">
        <x:f>IF(OR(C7="",E7=""),"",IFERROR((C7+E7-Entradas!B5)/Entradas!B5,""))</x:f>
        <x:v>0</x:v>
      </x:c>
      <x:c r="M7" s="25" t="n">
        <x:f>IF(OR(C7="",D7="",E7="",F7=""),"",IFERROR((C7*D7+E7*F7-Entradas!B5*Entradas!B6)/(Entradas!B5*Entradas!B6),""))</x:f>
        <x:v>-0.00002108333333339374</x:v>
      </x:c>
      <x:c r="N7" s="7" t="str">
        <x:f>IF(C7=0,"SIN VAPOR",IF(C7="","PENDIENTE",IF(MAX(ABS(L7),ABS(M7))&lt;=Entradas!$B$16,"OK","REVISAR")))</x:f>
        <x:v>OK</x:v>
      </x:c>
    </x:row>
    <x:row r="8">
      <x:c r="A8" s="3" t="s">
        <x:v>85</x:v>
      </x:c>
      <x:c r="B8" s="32">
        <x:v>87</x:v>
      </x:c>
      <x:c r="C8" s="33">
        <x:v>22.2</x:v>
      </x:c>
      <x:c r="D8" s="35">
        <x:v>0.64800000000000002</x:v>
      </x:c>
      <x:c r="E8" s="38">
        <x:v>77.8</x:v>
      </x:c>
      <x:c r="F8" s="35">
        <x:v>0.2006</x:v>
      </x:c>
      <x:c r="G8" s="41">
        <x:v>16.52</x:v>
      </x:c>
      <x:c r="H8" s="23">
        <x:f t="shared" si="0"/>
        <x:v>14.3856</x:v>
      </x:c>
      <x:c r="I8" s="9" t="n">
        <x:f>IF(H8="","",IFERROR(H8/(Entradas!B5*Entradas!B6),""))</x:f>
        <x:v>0.47952</x:v>
      </x:c>
      <x:c r="J8" s="9">
        <x:f t="shared" si="1"/>
        <x:v>0.64800000000000002</x:v>
      </x:c>
      <x:c r="K8" s="23">
        <x:f t="shared" si="2"/>
        <x:v>1.1483705928150372</x:v>
      </x:c>
      <x:c r="L8" s="25" t="n">
        <x:f>IF(OR(C8="",E8=""),"",IFERROR((C8+E8-Entradas!B5)/Entradas!B5,""))</x:f>
        <x:v>0</x:v>
      </x:c>
      <x:c r="M8" s="25" t="n">
        <x:f>IF(OR(C8="",D8="",E8="",F8=""),"",IFERROR((C8*D8+E8*F8-Entradas!B5*Entradas!B6)/(Entradas!B5*Entradas!B6),""))</x:f>
        <x:v>-0.00025733333333330204</x:v>
      </x:c>
      <x:c r="N8" s="7" t="str">
        <x:f>IF(C8=0,"SIN VAPOR",IF(C8="","PENDIENTE",IF(MAX(ABS(L8),ABS(M8))&lt;=Entradas!$B$16,"OK","REVISAR")))</x:f>
        <x:v>OK</x:v>
      </x:c>
    </x:row>
    <x:row r="9">
      <x:c r="A9" s="3" t="s">
        <x:v>86</x:v>
      </x:c>
      <x:c r="B9" s="32">
        <x:v>88</x:v>
      </x:c>
      <x:c r="C9" s="33">
        <x:v>28.257899999999999</x:v>
      </x:c>
      <x:c r="D9" s="35">
        <x:v>0.62</x:v>
      </x:c>
      <x:c r="E9" s="38">
        <x:v>71.742000000000004</x:v>
      </x:c>
      <x:c r="F9" s="35">
        <x:v>0.17369999999999999</x:v>
      </x:c>
      <x:c r="G9" s="41">
        <x:v>19.23</x:v>
      </x:c>
      <x:c r="H9" s="23">
        <x:f t="shared" si="0"/>
        <x:v>17.519897999999998</x:v>
      </x:c>
      <x:c r="I9" s="9" t="n">
        <x:f>IF(H9="","",IFERROR(H9/(Entradas!B5*Entradas!B6),""))</x:f>
        <x:v>0.5839966</x:v>
      </x:c>
      <x:c r="J9" s="9">
        <x:f t="shared" si="1"/>
        <x:v>0.62</x:v>
      </x:c>
      <x:c r="K9" s="23">
        <x:f t="shared" si="2"/>
        <x:v>1.0976091299161674</x:v>
      </x:c>
      <x:c r="L9" s="25" t="n">
        <x:f>IF(OR(C9="",E9=""),"",IFERROR((C9+E9-Entradas!B5)/Entradas!B5,""))</x:f>
        <x:v>-0.0000010000000000331967</x:v>
      </x:c>
      <x:c r="M9" s="25" t="n">
        <x:f>IF(OR(C9="",D9="",E9="",F9=""),"",IFERROR((C9*D9+E9*F9-Entradas!B5*Entradas!B6)/(Entradas!B5*Entradas!B6),""))</x:f>
        <x:v>-0.0006172200000000553</x:v>
      </x:c>
      <x:c r="N9" s="7" t="str">
        <x:f>IF(C9=0,"SIN VAPOR",IF(C9="","PENDIENTE",IF(MAX(ABS(L9),ABS(M9))&lt;=Entradas!$B$16,"OK","REVISAR")))</x:f>
        <x:v>OK</x:v>
      </x:c>
    </x:row>
    <x:row r="10">
      <x:c r="A10" s="3" t="s">
        <x:v>87</x:v>
      </x:c>
      <x:c r="B10" s="32">
        <x:v>90</x:v>
      </x:c>
      <x:c r="C10" s="33">
        <x:v>39.6</x:v>
      </x:c>
      <x:c r="D10" s="35">
        <x:v>0.55879999999999996</x:v>
      </x:c>
      <x:c r="E10" s="38">
        <x:v>60.4</x:v>
      </x:c>
      <x:c r="F10" s="35">
        <x:v>0.129</x:v>
      </x:c>
      <x:c r="G10" s="41">
        <x:v>24.96</x:v>
      </x:c>
      <x:c r="H10" s="23">
        <x:f t="shared" si="0"/>
        <x:v>22.12848</x:v>
      </x:c>
      <x:c r="I10" s="9" t="n">
        <x:f>IF(H10="","",IFERROR(H10/(Entradas!B5*Entradas!B6),""))</x:f>
        <x:v>0.7376159999999999</x:v>
      </x:c>
      <x:c r="J10" s="9">
        <x:f t="shared" si="1"/>
        <x:v>0.55879999999999996</x:v>
      </x:c>
      <x:c r="K10" s="23">
        <x:f t="shared" si="2"/>
        <x:v>1.1279581787813715</x:v>
      </x:c>
      <x:c r="L10" s="25" t="n">
        <x:f>IF(OR(C10="",E10=""),"",IFERROR((C10+E10-Entradas!B5)/Entradas!B5,""))</x:f>
        <x:v>0</x:v>
      </x:c>
      <x:c r="M10" s="25" t="n">
        <x:f>IF(OR(C10="",D10="",E10="",F10=""),"",IFERROR((C10*D10+E10*F10-Entradas!B5*Entradas!B6)/(Entradas!B5*Entradas!B6),""))</x:f>
        <x:v>-0.002664000000000044</x:v>
      </x:c>
      <x:c r="N10" s="7" t="str">
        <x:f>IF(C10=0,"SIN VAPOR",IF(C10="","PENDIENTE",IF(MAX(ABS(L10),ABS(M10))&lt;=Entradas!$B$16,"OK","REVISAR")))</x:f>
        <x:v>OK</x:v>
      </x:c>
    </x:row>
    <x:row r="11">
      <x:c r="A11" s="3" t="s">
        <x:v>88</x:v>
      </x:c>
      <x:c r="B11" s="32">
        <x:v>92</x:v>
      </x:c>
      <x:c r="C11" s="22">
        <x:v>52.73</x:v>
      </x:c>
      <x:c r="D11" s="36">
        <x:v>0.4854</x:v>
      </x:c>
      <x:c r="E11" s="39">
        <x:v>47.27</x:v>
      </x:c>
      <x:c r="F11" s="36">
        <x:v>9.3100000000000002E-2</x:v>
      </x:c>
      <x:c r="G11" s="42">
        <x:v>32.21</x:v>
      </x:c>
      <x:c r="H11" s="23">
        <x:f t="shared" si="0"/>
        <x:v>25.595141999999999</x:v>
      </x:c>
      <x:c r="I11" s="9" t="n">
        <x:f>IF(H11="","",IFERROR(H11/(Entradas!B5*Entradas!B6),""))</x:f>
        <x:v>0.8531714</x:v>
      </x:c>
      <x:c r="J11" s="9">
        <x:f t="shared" si="1"/>
        <x:v>0.4854</x:v>
      </x:c>
      <x:c r="K11" s="23">
        <x:f t="shared" si="2"/>
        <x:v>1.2584419340201356</x:v>
      </x:c>
      <x:c r="L11" s="25" t="n">
        <x:f>IF(OR(C11="",E11=""),"",IFERROR((C11+E11-Entradas!B5)/Entradas!B5,""))</x:f>
        <x:v>0</x:v>
      </x:c>
      <x:c r="M11" s="25" t="n">
        <x:f>IF(OR(C11="",D11="",E11="",F11=""),"",IFERROR((C11*D11+E11*F11-Entradas!B5*Entradas!B6)/(Entradas!B5*Entradas!B6),""))</x:f>
        <x:v>-0.0001340333333333869</x:v>
      </x:c>
      <x:c r="N11" s="7" t="str">
        <x:f>IF(C11=0,"SIN VAPOR",IF(C11="","PENDIENTE",IF(MAX(ABS(L11),ABS(M11))&lt;=Entradas!$B$16,"OK","REVISAR")))</x:f>
        <x:v>OK</x:v>
      </x:c>
    </x:row>
    <x:row r="13">
      <x:c r="A13" s="54" t="str">
        <x:v>Los casos de 82 y 84 °C son monofásicos líquidos; la composición y la pureza del vapor no aplican.</x:v>
      </x:c>
      <x:c r="B13" s="55" t="s">
        <x:v>89</x:v>
      </x:c>
      <x:c r="C13" s="55" t="s">
        <x:v>89</x:v>
      </x:c>
      <x:c r="D13" s="55" t="s">
        <x:v>89</x:v>
      </x:c>
      <x:c r="E13" s="55" t="s">
        <x:v>89</x:v>
      </x:c>
      <x:c r="F13" s="55" t="s">
        <x:v>89</x:v>
      </x:c>
      <x:c r="G13" s="55" t="s">
        <x:v>89</x:v>
      </x:c>
      <x:c r="H13" s="55" t="s">
        <x:v>89</x:v>
      </x:c>
      <x:c r="I13" s="55" t="s">
        <x:v>89</x:v>
      </x:c>
      <x:c r="J13" s="55" t="s">
        <x:v>89</x:v>
      </x:c>
      <x:c r="K13" s="55" t="s">
        <x:v>89</x:v>
      </x:c>
      <x:c r="L13" s="55" t="s">
        <x:v>89</x:v>
      </x:c>
      <x:c r="M13" s="55" t="s">
        <x:v>89</x:v>
      </x:c>
      <x:c r="N13" s="56" t="s">
        <x:v>89</x:v>
      </x:c>
    </x:row>
    <x:row r="14">
      <x:c r="A14" s="60" t="s">
        <x:v>89</x:v>
      </x:c>
      <x:c r="B14" s="61" t="s">
        <x:v>89</x:v>
      </x:c>
      <x:c r="C14" s="61" t="s">
        <x:v>89</x:v>
      </x:c>
      <x:c r="D14" s="61" t="s">
        <x:v>89</x:v>
      </x:c>
      <x:c r="E14" s="61" t="s">
        <x:v>89</x:v>
      </x:c>
      <x:c r="F14" s="61" t="s">
        <x:v>89</x:v>
      </x:c>
      <x:c r="G14" s="61" t="s">
        <x:v>89</x:v>
      </x:c>
      <x:c r="H14" s="61" t="s">
        <x:v>89</x:v>
      </x:c>
      <x:c r="I14" s="61" t="s">
        <x:v>89</x:v>
      </x:c>
      <x:c r="J14" s="61" t="s">
        <x:v>89</x:v>
      </x:c>
      <x:c r="K14" s="61" t="s">
        <x:v>89</x:v>
      </x:c>
      <x:c r="L14" s="61" t="s">
        <x:v>89</x:v>
      </x:c>
      <x:c r="M14" s="61" t="s">
        <x:v>89</x:v>
      </x:c>
      <x:c r="N14" s="62" t="s">
        <x:v>89</x:v>
      </x:c>
    </x:row>
    <x:row r="15">
      <x:c r="A15" s="57" t="s">
        <x:v>89</x:v>
      </x:c>
      <x:c r="B15" s="58" t="s">
        <x:v>89</x:v>
      </x:c>
      <x:c r="C15" s="58" t="s">
        <x:v>89</x:v>
      </x:c>
      <x:c r="D15" s="58" t="s">
        <x:v>89</x:v>
      </x:c>
      <x:c r="E15" s="58" t="s">
        <x:v>89</x:v>
      </x:c>
      <x:c r="F15" s="58" t="s">
        <x:v>89</x:v>
      </x:c>
      <x:c r="G15" s="58" t="s">
        <x:v>89</x:v>
      </x:c>
      <x:c r="H15" s="58" t="s">
        <x:v>89</x:v>
      </x:c>
      <x:c r="I15" s="58" t="s">
        <x:v>89</x:v>
      </x:c>
      <x:c r="J15" s="58" t="s">
        <x:v>89</x:v>
      </x:c>
      <x:c r="K15" s="58" t="s">
        <x:v>89</x:v>
      </x:c>
      <x:c r="L15" s="58" t="s">
        <x:v>89</x:v>
      </x:c>
      <x:c r="M15" s="58" t="s">
        <x:v>89</x:v>
      </x:c>
      <x:c r="N15" s="59" t="s">
        <x:v>89</x:v>
      </x:c>
    </x:row>
  </x:sheetData>
  <x:mergeCells>
    <x:mergeCell ref="A1:N1"/>
    <x:mergeCell ref="A2:N2"/>
    <x:mergeCell ref="A13:N15"/>
  </x:mergeCells>
  <x:conditionalFormatting sqref="N5:N11">
    <x:cfRule type="containsText" dxfId="11" priority="1" operator="containsText" text="OK"/>
    <x:cfRule type="containsText" dxfId="10" priority="2" operator="containsText" text="REVISAR"/>
    <x:cfRule type="containsText" dxfId="9" priority="3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4" customWidth="1"/>
    <x:col min="2" max="4" width="22" customWidth="1"/>
    <x:col min="5" max="5" width="4" customWidth="1"/>
    <x:col min="6" max="6" width="22" customWidth="1"/>
    <x:col min="7" max="7" width="20" customWidth="1"/>
    <x:col min="8" max="8" width="12" customWidth="1"/>
  </x:cols>
  <x:sheetData>
    <x:row r="1" ht="34" customHeight="1">
      <x:c r="A1" s="49" t="s">
        <x:v>90</x:v>
      </x:c>
      <x:c r="B1" s="49" t="s">
        <x:v>90</x:v>
      </x:c>
      <x:c r="C1" s="49" t="s">
        <x:v>90</x:v>
      </x:c>
      <x:c r="D1" s="49" t="s">
        <x:v>90</x:v>
      </x:c>
      <x:c r="E1" s="49" t="s">
        <x:v>90</x:v>
      </x:c>
      <x:c r="F1" s="49" t="s">
        <x:v>90</x:v>
      </x:c>
      <x:c r="G1" s="49" t="s">
        <x:v>90</x:v>
      </x:c>
      <x:c r="H1" s="49" t="s">
        <x:v>90</x:v>
      </x:c>
    </x:row>
    <x:row r="2" ht="30" customHeight="1">
      <x:c r="A2" s="50" t="str">
        <x:v>Resumen de indicadores calculados a partir de Casos_flash.</x:v>
      </x:c>
      <x:c r="B2" s="50" t="s">
        <x:v>91</x:v>
      </x:c>
      <x:c r="C2" s="50" t="s">
        <x:v>91</x:v>
      </x:c>
      <x:c r="D2" s="50" t="s">
        <x:v>91</x:v>
      </x:c>
      <x:c r="E2" s="50" t="s">
        <x:v>91</x:v>
      </x:c>
      <x:c r="F2" s="50" t="s">
        <x:v>91</x:v>
      </x:c>
      <x:c r="G2" s="50" t="s">
        <x:v>91</x:v>
      </x:c>
      <x:c r="H2" s="50" t="s">
        <x:v>91</x:v>
      </x:c>
    </x:row>
    <x:row r="4" ht="26" customHeight="1">
      <x:c r="A4" s="1" t="s">
        <x:v>92</x:v>
      </x:c>
      <x:c r="B4" s="1" t="s">
        <x:v>76</x:v>
      </x:c>
      <x:c r="C4" s="1" t="s">
        <x:v>77</x:v>
      </x:c>
      <x:c r="D4" s="1" t="s">
        <x:v>93</x:v>
      </x:c>
      <x:c r="F4" s="51" t="s">
        <x:v>94</x:v>
      </x:c>
      <x:c r="G4" s="51" t="s">
        <x:v>94</x:v>
      </x:c>
      <x:c r="H4" s="51" t="s">
        <x:v>94</x:v>
      </x:c>
    </x:row>
    <x:row r="5">
      <x:c r="A5" s="11" t="n">
        <x:f>Casos_flash!B5</x:f>
        <x:v>82</x:v>
      </x:c>
      <x:c r="B5" s="26" t="str">
        <x:f>IF(Casos_flash!C5="","",Casos_flash!I5)</x:f>
      </x:c>
      <x:c r="C5" s="26" t="str">
        <x:f>IF(Casos_flash!C5="","",Casos_flash!J5)</x:f>
      </x:c>
      <x:c r="D5" s="20" t="str">
        <x:f>IF(Casos_flash!C5="","",Casos_flash!K5)</x:f>
      </x:c>
      <x:c r="F5" s="2" t="s">
        <x:v>95</x:v>
      </x:c>
      <x:c r="G5" s="11" t="n">
        <x:f>Entradas!B10</x:f>
        <x:v>87</x:v>
      </x:c>
    </x:row>
    <x:row r="6">
      <x:c r="A6" s="7" t="n">
        <x:f>Casos_flash!B6</x:f>
        <x:v>84</x:v>
      </x:c>
      <x:c r="B6" s="9" t="str">
        <x:f>IF(Casos_flash!C6="","",Casos_flash!I6)</x:f>
      </x:c>
      <x:c r="C6" s="9" t="str">
        <x:f>IF(Casos_flash!C6="","",Casos_flash!J6)</x:f>
      </x:c>
      <x:c r="D6" s="23" t="str">
        <x:f>IF(Casos_flash!C6="","",Casos_flash!K6)</x:f>
      </x:c>
      <x:c r="F6" s="3" t="s">
        <x:v>96</x:v>
      </x:c>
      <x:c r="G6" s="9" t="n">
        <x:f>IFERROR(INDEX(Casos_flash!$I$5:$I$11,MATCH(Entradas!B10,Casos_flash!$B$5:$B$11,0)),"")</x:f>
        <x:v>0.47952</x:v>
      </x:c>
    </x:row>
    <x:row r="7">
      <x:c r="A7" s="7" t="n">
        <x:f>Casos_flash!B7</x:f>
        <x:v>86</x:v>
      </x:c>
      <x:c r="B7" s="9" t="n">
        <x:f>IF(Casos_flash!C7="","",Casos_flash!I7)</x:f>
        <x:v>0.34604182333333333</x:v>
      </x:c>
      <x:c r="C7" s="9" t="n">
        <x:f>IF(Casos_flash!C7="","",Casos_flash!J7)</x:f>
        <x:v>0.67367</x:v>
      </x:c>
      <x:c r="D7" s="23" t="n">
        <x:f>IF(Casos_flash!C7="","",Casos_flash!K7)</x:f>
        <x:v>1.3206496128064367</x:v>
      </x:c>
      <x:c r="F7" s="3" t="s">
        <x:v>97</x:v>
      </x:c>
      <x:c r="G7" s="9" t="n">
        <x:f>IFERROR(INDEX(Casos_flash!$J$5:$J$11,MATCH(Entradas!B10,Casos_flash!$B$5:$B$11,0)),"")</x:f>
        <x:v>0.648</x:v>
      </x:c>
    </x:row>
    <x:row r="8">
      <x:c r="A8" s="7" t="n">
        <x:f>Casos_flash!B8</x:f>
        <x:v>87</x:v>
      </x:c>
      <x:c r="B8" s="9" t="n">
        <x:f>IF(Casos_flash!C8="","",Casos_flash!I8)</x:f>
        <x:v>0.47952</x:v>
      </x:c>
      <x:c r="C8" s="9" t="n">
        <x:f>IF(Casos_flash!C8="","",Casos_flash!J8)</x:f>
        <x:v>0.648</x:v>
      </x:c>
      <x:c r="D8" s="23" t="n">
        <x:f>IF(Casos_flash!C8="","",Casos_flash!K8)</x:f>
        <x:v>1.1483705928150372</x:v>
      </x:c>
      <x:c r="F8" s="3" t="s">
        <x:v>93</x:v>
      </x:c>
      <x:c r="G8" s="23" t="n">
        <x:f>IFERROR(INDEX(Casos_flash!$K$5:$K$11,MATCH(Entradas!B10,Casos_flash!$B$5:$B$11,0)),"")</x:f>
        <x:v>1.1483705928150372</x:v>
      </x:c>
    </x:row>
    <x:row r="9">
      <x:c r="A9" s="7" t="n">
        <x:f>Casos_flash!B9</x:f>
        <x:v>88</x:v>
      </x:c>
      <x:c r="B9" s="9" t="n">
        <x:f>IF(Casos_flash!C9="","",Casos_flash!I9)</x:f>
        <x:v>0.5839966</x:v>
      </x:c>
      <x:c r="C9" s="9" t="n">
        <x:f>IF(Casos_flash!C9="","",Casos_flash!J9)</x:f>
        <x:v>0.62</x:v>
      </x:c>
      <x:c r="D9" s="23" t="n">
        <x:f>IF(Casos_flash!C9="","",Casos_flash!K9)</x:f>
        <x:v>1.0976091299161674</x:v>
      </x:c>
    </x:row>
    <x:row r="10">
      <x:c r="A10" s="7" t="n">
        <x:f>Casos_flash!B10</x:f>
        <x:v>90</x:v>
      </x:c>
      <x:c r="B10" s="9" t="n">
        <x:f>IF(Casos_flash!C10="","",Casos_flash!I10)</x:f>
        <x:v>0.7376159999999999</x:v>
      </x:c>
      <x:c r="C10" s="9" t="n">
        <x:f>IF(Casos_flash!C10="","",Casos_flash!J10)</x:f>
        <x:v>0.5588</x:v>
      </x:c>
      <x:c r="D10" s="23" t="n">
        <x:f>IF(Casos_flash!C10="","",Casos_flash!K10)</x:f>
        <x:v>1.1279581787813715</x:v>
      </x:c>
    </x:row>
    <x:row r="11">
      <x:c r="A11" s="7" t="n">
        <x:f>Casos_flash!B11</x:f>
        <x:v>92</x:v>
      </x:c>
      <x:c r="B11" s="9" t="n">
        <x:f>IF(Casos_flash!C11="","",Casos_flash!I11)</x:f>
        <x:v>0.8531714</x:v>
      </x:c>
      <x:c r="C11" s="9" t="n">
        <x:f>IF(Casos_flash!C11="","",Casos_flash!J11)</x:f>
        <x:v>0.4854</x:v>
      </x:c>
      <x:c r="D11" s="23" t="n">
        <x:f>IF(Casos_flash!C11="","",Casos_flash!K11)</x:f>
        <x:v>1.2584419340201356</x:v>
      </x:c>
    </x:row>
    <x:row r="14">
      <x:c r="A14" s="54" t="str">
        <x:v>Los casos de 82 y 84 °C no incluyen producto vapor; por ello, las series omiten esos puntos.</x:v>
      </x:c>
      <x:c r="B14" s="55" t="s">
        <x:v>98</x:v>
      </x:c>
      <x:c r="C14" s="55" t="s">
        <x:v>98</x:v>
      </x:c>
      <x:c r="D14" s="55" t="s">
        <x:v>98</x:v>
      </x:c>
      <x:c r="E14" s="55" t="s">
        <x:v>98</x:v>
      </x:c>
      <x:c r="F14" s="55" t="s">
        <x:v>98</x:v>
      </x:c>
      <x:c r="G14" s="55" t="s">
        <x:v>98</x:v>
      </x:c>
      <x:c r="H14" s="56" t="s">
        <x:v>98</x:v>
      </x:c>
    </x:row>
    <x:row r="15">
      <x:c r="A15" s="60" t="s">
        <x:v>98</x:v>
      </x:c>
      <x:c r="B15" s="61" t="s">
        <x:v>98</x:v>
      </x:c>
      <x:c r="C15" s="61" t="s">
        <x:v>98</x:v>
      </x:c>
      <x:c r="D15" s="61" t="s">
        <x:v>98</x:v>
      </x:c>
      <x:c r="E15" s="61" t="s">
        <x:v>98</x:v>
      </x:c>
      <x:c r="F15" s="61" t="s">
        <x:v>98</x:v>
      </x:c>
      <x:c r="G15" s="61" t="s">
        <x:v>98</x:v>
      </x:c>
      <x:c r="H15" s="62" t="s">
        <x:v>98</x:v>
      </x:c>
    </x:row>
    <x:row r="16">
      <x:c r="A16" s="60" t="s">
        <x:v>98</x:v>
      </x:c>
      <x:c r="B16" s="61" t="s">
        <x:v>98</x:v>
      </x:c>
      <x:c r="C16" s="61" t="s">
        <x:v>98</x:v>
      </x:c>
      <x:c r="D16" s="61" t="s">
        <x:v>98</x:v>
      </x:c>
      <x:c r="E16" s="61" t="s">
        <x:v>98</x:v>
      </x:c>
      <x:c r="F16" s="61" t="s">
        <x:v>98</x:v>
      </x:c>
      <x:c r="G16" s="61" t="s">
        <x:v>98</x:v>
      </x:c>
      <x:c r="H16" s="62" t="s">
        <x:v>98</x:v>
      </x:c>
    </x:row>
    <x:row r="17">
      <x:c r="A17" s="57" t="s">
        <x:v>98</x:v>
      </x:c>
      <x:c r="B17" s="58" t="s">
        <x:v>98</x:v>
      </x:c>
      <x:c r="C17" s="58" t="s">
        <x:v>98</x:v>
      </x:c>
      <x:c r="D17" s="58" t="s">
        <x:v>98</x:v>
      </x:c>
      <x:c r="E17" s="58" t="s">
        <x:v>98</x:v>
      </x:c>
      <x:c r="F17" s="58" t="s">
        <x:v>98</x:v>
      </x:c>
      <x:c r="G17" s="58" t="s">
        <x:v>98</x:v>
      </x:c>
      <x:c r="H17" s="59" t="s">
        <x:v>98</x:v>
      </x:c>
    </x:row>
  </x:sheetData>
  <x:mergeCells>
    <x:mergeCell ref="A1:H1"/>
    <x:mergeCell ref="A2:H2"/>
    <x:mergeCell ref="F4:H4"/>
    <x:mergeCell ref="A14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2" customWidth="1"/>
    <x:col min="2" max="2" width="10" customWidth="1"/>
    <x:col min="3" max="3" width="12" customWidth="1"/>
    <x:col min="4" max="4" width="14" customWidth="1"/>
    <x:col min="5" max="5" width="18" customWidth="1"/>
    <x:col min="6" max="7" width="17" customWidth="1"/>
    <x:col min="8" max="8" width="20" customWidth="1"/>
    <x:col min="9" max="9" width="18" customWidth="1"/>
    <x:col min="10" max="10" width="14" customWidth="1"/>
    <x:col min="11" max="11" width="32" customWidth="1"/>
  </x:cols>
  <x:sheetData>
    <x:row r="1" ht="34" customHeight="1">
      <x:c r="A1" s="49" t="s">
        <x:v>99</x:v>
      </x:c>
      <x:c r="B1" s="49" t="s">
        <x:v>99</x:v>
      </x:c>
      <x:c r="C1" s="49" t="s">
        <x:v>99</x:v>
      </x:c>
      <x:c r="D1" s="49" t="s">
        <x:v>99</x:v>
      </x:c>
      <x:c r="E1" s="49" t="s">
        <x:v>99</x:v>
      </x:c>
      <x:c r="F1" s="49" t="s">
        <x:v>99</x:v>
      </x:c>
      <x:c r="G1" s="49" t="s">
        <x:v>99</x:v>
      </x:c>
      <x:c r="H1" s="49" t="s">
        <x:v>99</x:v>
      </x:c>
      <x:c r="I1" s="49" t="s">
        <x:v>99</x:v>
      </x:c>
      <x:c r="J1" s="49" t="s">
        <x:v>99</x:v>
      </x:c>
      <x:c r="K1" s="49" t="s">
        <x:v>99</x:v>
      </x:c>
    </x:row>
    <x:row r="2" ht="30" customHeight="1">
      <x:c r="A2" s="50" t="str">
        <x:v>Análisis de sensibilidad de una columna de destilación basada en el tutorial oficial de DWSIM.</x:v>
      </x:c>
      <x:c r="B2" s="50" t="s">
        <x:v>100</x:v>
      </x:c>
      <x:c r="C2" s="50" t="s">
        <x:v>100</x:v>
      </x:c>
      <x:c r="D2" s="50" t="s">
        <x:v>100</x:v>
      </x:c>
      <x:c r="E2" s="50" t="s">
        <x:v>100</x:v>
      </x:c>
      <x:c r="F2" s="50" t="s">
        <x:v>100</x:v>
      </x:c>
      <x:c r="G2" s="50" t="s">
        <x:v>100</x:v>
      </x:c>
      <x:c r="H2" s="50" t="s">
        <x:v>100</x:v>
      </x:c>
      <x:c r="I2" s="50" t="s">
        <x:v>100</x:v>
      </x:c>
      <x:c r="J2" s="50" t="s">
        <x:v>100</x:v>
      </x:c>
      <x:c r="K2" s="50" t="s">
        <x:v>100</x:v>
      </x:c>
    </x:row>
    <x:row r="4" ht="34" customHeight="1">
      <x:c r="A4" s="1" t="s">
        <x:v>68</x:v>
      </x:c>
      <x:c r="B4" s="1" t="s">
        <x:v>101</x:v>
      </x:c>
      <x:c r="C4" s="1" t="s">
        <x:v>102</x:v>
      </x:c>
      <x:c r="D4" s="1" t="s">
        <x:v>103</x:v>
      </x:c>
      <x:c r="E4" s="1" t="s">
        <x:v>104</x:v>
      </x:c>
      <x:c r="F4" s="1" t="s">
        <x:v>105</x:v>
      </x:c>
      <x:c r="G4" s="1" t="s">
        <x:v>106</x:v>
      </x:c>
      <x:c r="H4" s="1" t="s">
        <x:v>107</x:v>
      </x:c>
      <x:c r="I4" s="1" t="s">
        <x:v>108</x:v>
      </x:c>
      <x:c r="J4" s="1" t="s">
        <x:v>109</x:v>
      </x:c>
      <x:c r="K4" s="1" t="s">
        <x:v>9</x:v>
      </x:c>
    </x:row>
    <x:row r="5">
      <x:c r="A5" s="2" t="s">
        <x:v>110</x:v>
      </x:c>
      <x:c r="B5" s="2">
        <x:v>20</x:v>
      </x:c>
      <x:c r="C5" s="2">
        <x:v>10</x:v>
      </x:c>
      <x:c r="D5" s="2">
        <x:v>2</x:v>
      </x:c>
      <x:c r="E5" s="2">
        <x:v>75</x:v>
      </x:c>
      <x:c r="F5" s="46">
        <x:v>0.80569999999999997</x:v>
      </x:c>
      <x:c r="G5" s="46">
        <x:v>0.39810000000000001</x:v>
      </x:c>
      <x:c r="H5" s="46">
        <x:v>2953.18</x:v>
      </x:c>
      <x:c r="I5" s="46">
        <x:v>2986.14</x:v>
      </x:c>
      <x:c r="J5" s="27" t="s">
        <x:v>111</x:v>
      </x:c>
      <x:c r="K5" s="13"/>
    </x:row>
    <x:row r="6">
      <x:c r="A6" s="3" t="s">
        <x:v>112</x:v>
      </x:c>
      <x:c r="B6" s="3">
        <x:v>20</x:v>
      </x:c>
      <x:c r="C6" s="3">
        <x:v>10</x:v>
      </x:c>
      <x:c r="D6" s="3">
        <x:v>3</x:v>
      </x:c>
      <x:c r="E6" s="3">
        <x:v>75</x:v>
      </x:c>
      <x:c r="F6" s="46">
        <x:v>0.82010000000000005</x:v>
      </x:c>
      <x:c r="G6" s="47">
        <x:v>0.39329999999999998</x:v>
      </x:c>
      <x:c r="H6" s="46">
        <x:v>3932.9</x:v>
      </x:c>
      <x:c r="I6" s="46">
        <x:v>3965.37</x:v>
      </x:c>
      <x:c r="J6" s="4" t="s">
        <x:v>111</x:v>
      </x:c>
      <x:c r="K6" s="29"/>
    </x:row>
    <x:row r="7">
      <x:c r="A7" s="3" t="s">
        <x:v>113</x:v>
      </x:c>
      <x:c r="B7" s="3">
        <x:v>20</x:v>
      </x:c>
      <x:c r="C7" s="3">
        <x:v>10</x:v>
      </x:c>
      <x:c r="D7" s="3">
        <x:v>5</x:v>
      </x:c>
      <x:c r="E7" s="3">
        <x:v>75</x:v>
      </x:c>
      <x:c r="F7" s="46">
        <x:v>0.83079999999999998</x:v>
      </x:c>
      <x:c r="G7" s="46">
        <x:v>0.38979999999999998</x:v>
      </x:c>
      <x:c r="H7" s="46">
        <x:v>5894.28</x:v>
      </x:c>
      <x:c r="I7" s="46">
        <x:v>5926.48</x:v>
      </x:c>
      <x:c r="J7" s="4" t="s">
        <x:v>111</x:v>
      </x:c>
      <x:c r="K7" s="29"/>
    </x:row>
    <x:row r="8">
      <x:c r="A8" s="3" t="s">
        <x:v>114</x:v>
      </x:c>
      <x:c r="B8" s="3">
        <x:v>10</x:v>
      </x:c>
      <x:c r="C8" s="3">
        <x:v>5</x:v>
      </x:c>
      <x:c r="D8" s="3">
        <x:v>2</x:v>
      </x:c>
      <x:c r="E8" s="3">
        <x:v>75</x:v>
      </x:c>
      <x:c r="F8" s="46">
        <x:v>0.77739999999999998</x:v>
      </x:c>
      <x:c r="G8" s="46">
        <x:v>0.40749999999999997</x:v>
      </x:c>
      <x:c r="H8" s="46">
        <x:v>2960.11</x:v>
      </x:c>
      <x:c r="I8" s="46">
        <x:v>2993.94</x:v>
      </x:c>
      <x:c r="J8" s="4" t="s">
        <x:v>111</x:v>
      </x:c>
      <x:c r="K8" s="29"/>
    </x:row>
    <x:row r="9">
      <x:c r="A9" s="3" t="s">
        <x:v>115</x:v>
      </x:c>
      <x:c r="B9" s="3">
        <x:v>15</x:v>
      </x:c>
      <x:c r="C9" s="3">
        <x:v>8</x:v>
      </x:c>
      <x:c r="D9" s="3">
        <x:v>2</x:v>
      </x:c>
      <x:c r="E9" s="3">
        <x:v>75</x:v>
      </x:c>
      <x:c r="F9" s="46">
        <x:v>0.79869999999999997</x:v>
      </x:c>
      <x:c r="G9" s="46">
        <x:v>0.40050000000000002</x:v>
      </x:c>
      <x:c r="H9" s="46">
        <x:v>2954.88</x:v>
      </x:c>
      <x:c r="I9" s="46">
        <x:v>2988.06</x:v>
      </x:c>
      <x:c r="J9" s="30" t="s">
        <x:v>111</x:v>
      </x:c>
      <x:c r="K9" s="15"/>
    </x:row>
    <x:row r="12">
      <x:c r="A12" s="54" t="str">
        <x:v>Base del estudio: alimentación 50/50 molar, 20 etapas, feed en etapa 10, RR = 2 y fondos = 75 mol/s. Extensión educativa; no constituye un diseño industrial.</x:v>
      </x:c>
      <x:c r="B12" s="55" t="s">
        <x:v>116</x:v>
      </x:c>
      <x:c r="C12" s="55" t="s">
        <x:v>116</x:v>
      </x:c>
      <x:c r="D12" s="55" t="s">
        <x:v>116</x:v>
      </x:c>
      <x:c r="E12" s="55" t="s">
        <x:v>116</x:v>
      </x:c>
      <x:c r="F12" s="55" t="s">
        <x:v>116</x:v>
      </x:c>
      <x:c r="G12" s="55" t="s">
        <x:v>116</x:v>
      </x:c>
      <x:c r="H12" s="55" t="s">
        <x:v>116</x:v>
      </x:c>
      <x:c r="I12" s="55" t="s">
        <x:v>116</x:v>
      </x:c>
      <x:c r="J12" s="55" t="s">
        <x:v>116</x:v>
      </x:c>
      <x:c r="K12" s="56" t="s">
        <x:v>116</x:v>
      </x:c>
    </x:row>
    <x:row r="13">
      <x:c r="A13" s="60" t="s">
        <x:v>116</x:v>
      </x:c>
      <x:c r="B13" s="61" t="s">
        <x:v>116</x:v>
      </x:c>
      <x:c r="C13" s="61" t="s">
        <x:v>116</x:v>
      </x:c>
      <x:c r="D13" s="61" t="s">
        <x:v>116</x:v>
      </x:c>
      <x:c r="E13" s="61" t="s">
        <x:v>116</x:v>
      </x:c>
      <x:c r="F13" s="61" t="s">
        <x:v>116</x:v>
      </x:c>
      <x:c r="G13" s="61" t="s">
        <x:v>116</x:v>
      </x:c>
      <x:c r="H13" s="61" t="s">
        <x:v>116</x:v>
      </x:c>
      <x:c r="I13" s="61" t="s">
        <x:v>116</x:v>
      </x:c>
      <x:c r="J13" s="61" t="s">
        <x:v>116</x:v>
      </x:c>
      <x:c r="K13" s="62" t="s">
        <x:v>116</x:v>
      </x:c>
    </x:row>
    <x:row r="14">
      <x:c r="A14" s="60" t="s">
        <x:v>116</x:v>
      </x:c>
      <x:c r="B14" s="61" t="s">
        <x:v>116</x:v>
      </x:c>
      <x:c r="C14" s="61" t="s">
        <x:v>116</x:v>
      </x:c>
      <x:c r="D14" s="61" t="s">
        <x:v>116</x:v>
      </x:c>
      <x:c r="E14" s="61" t="s">
        <x:v>116</x:v>
      </x:c>
      <x:c r="F14" s="61" t="s">
        <x:v>116</x:v>
      </x:c>
      <x:c r="G14" s="61" t="s">
        <x:v>116</x:v>
      </x:c>
      <x:c r="H14" s="61" t="s">
        <x:v>116</x:v>
      </x:c>
      <x:c r="I14" s="61" t="s">
        <x:v>116</x:v>
      </x:c>
      <x:c r="J14" s="61" t="s">
        <x:v>116</x:v>
      </x:c>
      <x:c r="K14" s="62" t="s">
        <x:v>116</x:v>
      </x:c>
    </x:row>
    <x:row r="15">
      <x:c r="A15" s="57" t="s">
        <x:v>116</x:v>
      </x:c>
      <x:c r="B15" s="58" t="s">
        <x:v>116</x:v>
      </x:c>
      <x:c r="C15" s="58" t="s">
        <x:v>116</x:v>
      </x:c>
      <x:c r="D15" s="58" t="s">
        <x:v>116</x:v>
      </x:c>
      <x:c r="E15" s="58" t="s">
        <x:v>116</x:v>
      </x:c>
      <x:c r="F15" s="58" t="s">
        <x:v>116</x:v>
      </x:c>
      <x:c r="G15" s="58" t="s">
        <x:v>116</x:v>
      </x:c>
      <x:c r="H15" s="58" t="s">
        <x:v>116</x:v>
      </x:c>
      <x:c r="I15" s="58" t="s">
        <x:v>116</x:v>
      </x:c>
      <x:c r="J15" s="58" t="s">
        <x:v>116</x:v>
      </x:c>
      <x:c r="K15" s="59" t="s">
        <x:v>116</x:v>
      </x:c>
    </x:row>
  </x:sheetData>
  <x:mergeCells>
    <x:mergeCell ref="A1:K1"/>
    <x:mergeCell ref="A2:K2"/>
    <x:mergeCell ref="A12:K15"/>
  </x:mergeCells>
  <x:dataValidations count="1">
    <x:dataValidation type="list" sqref="J5:J9">
      <x:formula1>"PENDIENTE,SÍ,NO"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0" customWidth="1"/>
    <x:col min="2" max="2" width="12" customWidth="1"/>
    <x:col min="3" max="3" width="14" customWidth="1"/>
    <x:col min="4" max="4" width="22" customWidth="1"/>
    <x:col min="5" max="5" width="30" customWidth="1"/>
    <x:col min="6" max="6" width="49.33203125" customWidth="1"/>
    <x:col min="7" max="7" width="24" customWidth="1"/>
    <x:col min="8" max="8" width="38" customWidth="1"/>
    <x:col min="9" max="11" width="10" customWidth="1"/>
    <x:col min="12" max="12" width="12" customWidth="1"/>
    <x:col min="13" max="13" width="20" customWidth="1"/>
  </x:cols>
  <x:sheetData>
    <x:row r="1" ht="34" customHeight="1">
      <x:c r="A1" s="49" t="s">
        <x:v>117</x:v>
      </x:c>
      <x:c r="B1" s="49" t="s">
        <x:v>117</x:v>
      </x:c>
      <x:c r="C1" s="49" t="s">
        <x:v>117</x:v>
      </x:c>
      <x:c r="D1" s="49" t="s">
        <x:v>117</x:v>
      </x:c>
      <x:c r="E1" s="49" t="s">
        <x:v>117</x:v>
      </x:c>
      <x:c r="F1" s="49" t="s">
        <x:v>117</x:v>
      </x:c>
      <x:c r="G1" s="49" t="s">
        <x:v>117</x:v>
      </x:c>
      <x:c r="H1" s="49" t="s">
        <x:v>117</x:v>
      </x:c>
      <x:c r="I1" s="49" t="s">
        <x:v>117</x:v>
      </x:c>
      <x:c r="J1" s="49" t="s">
        <x:v>117</x:v>
      </x:c>
      <x:c r="K1" s="49" t="s">
        <x:v>117</x:v>
      </x:c>
      <x:c r="L1" s="49" t="s">
        <x:v>117</x:v>
      </x:c>
      <x:c r="M1" s="49" t="s">
        <x:v>117</x:v>
      </x:c>
    </x:row>
    <x:row r="2" ht="30" customHeight="1">
      <x:c r="A2" s="50" t="s">
        <x:v>118</x:v>
      </x:c>
      <x:c r="B2" s="50" t="s">
        <x:v>118</x:v>
      </x:c>
      <x:c r="C2" s="50" t="s">
        <x:v>118</x:v>
      </x:c>
      <x:c r="D2" s="50" t="s">
        <x:v>118</x:v>
      </x:c>
      <x:c r="E2" s="50" t="s">
        <x:v>118</x:v>
      </x:c>
      <x:c r="F2" s="50" t="s">
        <x:v>118</x:v>
      </x:c>
      <x:c r="G2" s="50" t="s">
        <x:v>118</x:v>
      </x:c>
      <x:c r="H2" s="50" t="s">
        <x:v>118</x:v>
      </x:c>
      <x:c r="I2" s="50" t="s">
        <x:v>118</x:v>
      </x:c>
      <x:c r="J2" s="50" t="s">
        <x:v>118</x:v>
      </x:c>
      <x:c r="K2" s="50" t="s">
        <x:v>118</x:v>
      </x:c>
      <x:c r="L2" s="50" t="s">
        <x:v>118</x:v>
      </x:c>
      <x:c r="M2" s="50" t="s">
        <x:v>118</x:v>
      </x:c>
    </x:row>
    <x:row r="4" ht="34" customHeight="1">
      <x:c r="A4" s="1" t="s">
        <x:v>119</x:v>
      </x:c>
      <x:c r="B4" s="1" t="s">
        <x:v>120</x:v>
      </x:c>
      <x:c r="C4" s="1" t="s">
        <x:v>121</x:v>
      </x:c>
      <x:c r="D4" s="1" t="s">
        <x:v>122</x:v>
      </x:c>
      <x:c r="E4" s="1" t="s">
        <x:v>123</x:v>
      </x:c>
      <x:c r="F4" s="1" t="s">
        <x:v>124</x:v>
      </x:c>
      <x:c r="G4" s="1" t="s">
        <x:v>125</x:v>
      </x:c>
      <x:c r="H4" s="1" t="s">
        <x:v>126</x:v>
      </x:c>
      <x:c r="I4" s="1" t="s">
        <x:v>127</x:v>
      </x:c>
      <x:c r="J4" s="1" t="s">
        <x:v>128</x:v>
      </x:c>
      <x:c r="K4" s="1" t="s">
        <x:v>129</x:v>
      </x:c>
      <x:c r="L4" s="1" t="s">
        <x:v>130</x:v>
      </x:c>
      <x:c r="M4" s="1" t="s">
        <x:v>131</x:v>
      </x:c>
    </x:row>
    <x:row r="5" ht="25">
      <x:c r="A5" s="2" t="s">
        <x:v>132</x:v>
      </x:c>
      <x:c r="B5" s="2" t="s">
        <x:v>133</x:v>
      </x:c>
      <x:c r="C5" s="2" t="s">
        <x:v>134</x:v>
      </x:c>
      <x:c r="D5" s="2" t="s">
        <x:v>135</x:v>
      </x:c>
      <x:c r="E5" s="2" t="s">
        <x:v>136</x:v>
      </x:c>
      <x:c r="F5" s="2" t="s">
        <x:v>137</x:v>
      </x:c>
      <x:c r="G5" s="2" t="s">
        <x:v>138</x:v>
      </x:c>
      <x:c r="H5" s="2" t="s">
        <x:v>139</x:v>
      </x:c>
      <x:c r="I5" s="12">
        <x:v>4</x:v>
      </x:c>
      <x:c r="J5" s="13">
        <x:v>2</x:v>
      </x:c>
      <x:c r="K5" s="11" t="n">
        <x:f t="shared" ref="K5:K14" si="0">IF(OR(I5="",J5=""),"",I5*J5)</x:f>
        <x:v>8</x:v>
      </x:c>
      <x:c r="L5" s="11" t="str">
        <x:f t="shared" ref="L5:L14" si="1">IF(K5="","",IF(K5&gt;=15,"ALTA",IF(K5&gt;=8,"MEDIA","BAJA")))</x:f>
        <x:v>MEDIA</x:v>
      </x:c>
      <x:c r="M5" s="2" t="s">
        <x:v>140</x:v>
      </x:c>
    </x:row>
    <x:row r="6">
      <x:c r="A6" s="3" t="s">
        <x:v>141</x:v>
      </x:c>
      <x:c r="B6" s="3" t="s">
        <x:v>133</x:v>
      </x:c>
      <x:c r="C6" s="3" t="s">
        <x:v>142</x:v>
      </x:c>
      <x:c r="D6" s="3" t="s">
        <x:v>143</x:v>
      </x:c>
      <x:c r="E6" s="3" t="s">
        <x:v>144</x:v>
      </x:c>
      <x:c r="F6" s="3" t="s">
        <x:v>145</x:v>
      </x:c>
      <x:c r="G6" s="3" t="s">
        <x:v>146</x:v>
      </x:c>
      <x:c r="H6" s="3" t="s">
        <x:v>147</x:v>
      </x:c>
      <x:c r="I6" s="28">
        <x:v>4</x:v>
      </x:c>
      <x:c r="J6" s="29">
        <x:v>2</x:v>
      </x:c>
      <x:c r="K6" s="7">
        <x:f t="shared" si="0"/>
        <x:v>8</x:v>
      </x:c>
      <x:c r="L6" s="7" t="str">
        <x:f t="shared" si="1"/>
        <x:v>MEDIA</x:v>
      </x:c>
      <x:c r="M6" s="3" t="s">
        <x:v>140</x:v>
      </x:c>
    </x:row>
    <x:row r="7" ht="25">
      <x:c r="A7" s="3" t="s">
        <x:v>148</x:v>
      </x:c>
      <x:c r="B7" s="3" t="s">
        <x:v>149</x:v>
      </x:c>
      <x:c r="C7" s="3" t="s">
        <x:v>134</x:v>
      </x:c>
      <x:c r="D7" s="3" t="s">
        <x:v>150</x:v>
      </x:c>
      <x:c r="E7" s="3" t="s">
        <x:v>151</x:v>
      </x:c>
      <x:c r="F7" s="3" t="s">
        <x:v>152</x:v>
      </x:c>
      <x:c r="G7" s="3" t="s">
        <x:v>146</x:v>
      </x:c>
      <x:c r="H7" s="3" t="s">
        <x:v>153</x:v>
      </x:c>
      <x:c r="I7" s="28">
        <x:v>5</x:v>
      </x:c>
      <x:c r="J7" s="29">
        <x:v>2</x:v>
      </x:c>
      <x:c r="K7" s="7">
        <x:f t="shared" si="0"/>
        <x:v>10</x:v>
      </x:c>
      <x:c r="L7" s="7" t="str">
        <x:f t="shared" si="1"/>
        <x:v>MEDIA</x:v>
      </x:c>
      <x:c r="M7" s="3" t="s">
        <x:v>154</x:v>
      </x:c>
    </x:row>
    <x:row r="8">
      <x:c r="A8" s="3" t="s">
        <x:v>155</x:v>
      </x:c>
      <x:c r="B8" s="3" t="s">
        <x:v>149</x:v>
      </x:c>
      <x:c r="C8" s="3" t="s">
        <x:v>134</x:v>
      </x:c>
      <x:c r="D8" s="3" t="s">
        <x:v>156</x:v>
      </x:c>
      <x:c r="E8" s="3" t="s">
        <x:v>157</x:v>
      </x:c>
      <x:c r="F8" s="3" t="s">
        <x:v>158</x:v>
      </x:c>
      <x:c r="G8" s="3" t="s">
        <x:v>146</x:v>
      </x:c>
      <x:c r="H8" s="3" t="s">
        <x:v>159</x:v>
      </x:c>
      <x:c r="I8" s="28">
        <x:v>3</x:v>
      </x:c>
      <x:c r="J8" s="29">
        <x:v>3</x:v>
      </x:c>
      <x:c r="K8" s="7">
        <x:f t="shared" si="0"/>
        <x:v>9</x:v>
      </x:c>
      <x:c r="L8" s="7" t="str">
        <x:f t="shared" si="1"/>
        <x:v>MEDIA</x:v>
      </x:c>
      <x:c r="M8" s="3" t="s">
        <x:v>140</x:v>
      </x:c>
    </x:row>
    <x:row r="9">
      <x:c r="A9" s="3" t="s">
        <x:v>160</x:v>
      </x:c>
      <x:c r="B9" s="3" t="s">
        <x:v>149</x:v>
      </x:c>
      <x:c r="C9" s="3" t="s">
        <x:v>161</x:v>
      </x:c>
      <x:c r="D9" s="3" t="s">
        <x:v>162</x:v>
      </x:c>
      <x:c r="E9" s="3" t="s">
        <x:v>163</x:v>
      </x:c>
      <x:c r="F9" s="3" t="s">
        <x:v>164</x:v>
      </x:c>
      <x:c r="G9" s="3" t="s">
        <x:v>146</x:v>
      </x:c>
      <x:c r="H9" s="3" t="s">
        <x:v>165</x:v>
      </x:c>
      <x:c r="I9" s="28">
        <x:v>3</x:v>
      </x:c>
      <x:c r="J9" s="29">
        <x:v>2</x:v>
      </x:c>
      <x:c r="K9" s="7">
        <x:f t="shared" si="0"/>
        <x:v>6</x:v>
      </x:c>
      <x:c r="L9" s="7" t="str">
        <x:f t="shared" si="1"/>
        <x:v>BAJA</x:v>
      </x:c>
      <x:c r="M9" s="3" t="s">
        <x:v>140</x:v>
      </x:c>
    </x:row>
    <x:row r="10" ht="25">
      <x:c r="A10" s="3" t="s">
        <x:v>166</x:v>
      </x:c>
      <x:c r="B10" s="3" t="s">
        <x:v>167</x:v>
      </x:c>
      <x:c r="C10" s="3" t="s">
        <x:v>168</x:v>
      </x:c>
      <x:c r="D10" s="3" t="s">
        <x:v>169</x:v>
      </x:c>
      <x:c r="E10" s="3" t="s">
        <x:v>170</x:v>
      </x:c>
      <x:c r="F10" s="3" t="s">
        <x:v>171</x:v>
      </x:c>
      <x:c r="G10" s="3" t="s">
        <x:v>146</x:v>
      </x:c>
      <x:c r="H10" s="3" t="s">
        <x:v>172</x:v>
      </x:c>
      <x:c r="I10" s="28">
        <x:v>5</x:v>
      </x:c>
      <x:c r="J10" s="29">
        <x:v>2</x:v>
      </x:c>
      <x:c r="K10" s="7">
        <x:f t="shared" si="0"/>
        <x:v>10</x:v>
      </x:c>
      <x:c r="L10" s="7" t="str">
        <x:f t="shared" si="1"/>
        <x:v>MEDIA</x:v>
      </x:c>
      <x:c r="M10" s="3" t="s">
        <x:v>173</x:v>
      </x:c>
    </x:row>
    <x:row r="11" ht="25">
      <x:c r="A11" s="3" t="s">
        <x:v>174</x:v>
      </x:c>
      <x:c r="B11" s="3" t="s">
        <x:v>47</x:v>
      </x:c>
      <x:c r="C11" s="3" t="s">
        <x:v>134</x:v>
      </x:c>
      <x:c r="D11" s="3" t="s">
        <x:v>175</x:v>
      </x:c>
      <x:c r="E11" s="3" t="s">
        <x:v>176</x:v>
      </x:c>
      <x:c r="F11" s="3" t="s">
        <x:v>177</x:v>
      </x:c>
      <x:c r="G11" s="3" t="s">
        <x:v>178</x:v>
      </x:c>
      <x:c r="H11" s="3" t="s">
        <x:v>179</x:v>
      </x:c>
      <x:c r="I11" s="28">
        <x:v>3</x:v>
      </x:c>
      <x:c r="J11" s="29">
        <x:v>3</x:v>
      </x:c>
      <x:c r="K11" s="7">
        <x:f t="shared" si="0"/>
        <x:v>9</x:v>
      </x:c>
      <x:c r="L11" s="7" t="str">
        <x:f t="shared" si="1"/>
        <x:v>MEDIA</x:v>
      </x:c>
      <x:c r="M11" s="3" t="s">
        <x:v>180</x:v>
      </x:c>
    </x:row>
    <x:row r="12">
      <x:c r="A12" s="3" t="s">
        <x:v>181</x:v>
      </x:c>
      <x:c r="B12" s="3" t="s">
        <x:v>133</x:v>
      </x:c>
      <x:c r="C12" s="3" t="s">
        <x:v>161</x:v>
      </x:c>
      <x:c r="D12" s="3" t="s">
        <x:v>182</x:v>
      </x:c>
      <x:c r="E12" s="3" t="s">
        <x:v>183</x:v>
      </x:c>
      <x:c r="F12" s="3" t="s">
        <x:v>184</x:v>
      </x:c>
      <x:c r="G12" s="3" t="s">
        <x:v>185</x:v>
      </x:c>
      <x:c r="H12" s="3" t="s">
        <x:v>186</x:v>
      </x:c>
      <x:c r="I12" s="28">
        <x:v>2</x:v>
      </x:c>
      <x:c r="J12" s="29">
        <x:v>3</x:v>
      </x:c>
      <x:c r="K12" s="7">
        <x:f t="shared" si="0"/>
        <x:v>6</x:v>
      </x:c>
      <x:c r="L12" s="7" t="str">
        <x:f t="shared" si="1"/>
        <x:v>BAJA</x:v>
      </x:c>
      <x:c r="M12" s="3" t="s">
        <x:v>187</x:v>
      </x:c>
    </x:row>
    <x:row r="13" ht="25.5">
      <x:c r="A13" s="3" t="s">
        <x:v>188</x:v>
      </x:c>
      <x:c r="B13" s="46" t="s">
        <x:v>47</x:v>
      </x:c>
      <x:c r="C13" s="46" t="s">
        <x:v>189</x:v>
      </x:c>
      <x:c r="D13" s="46" t="s">
        <x:v>190</x:v>
      </x:c>
      <x:c r="E13" s="48" t="s">
        <x:v>191</x:v>
      </x:c>
      <x:c r="F13" s="48" t="s">
        <x:v>192</x:v>
      </x:c>
      <x:c r="G13" s="46" t="s">
        <x:v>138</x:v>
      </x:c>
      <x:c r="H13" s="48" t="s">
        <x:v>193</x:v>
      </x:c>
      <x:c r="I13" s="28">
        <x:v>4</x:v>
      </x:c>
      <x:c r="J13" s="29">
        <x:v>2</x:v>
      </x:c>
      <x:c r="K13" s="7">
        <x:f t="shared" si="0"/>
        <x:v>8</x:v>
      </x:c>
      <x:c r="L13" s="7" t="str">
        <x:f t="shared" si="1"/>
        <x:v>MEDIA</x:v>
      </x:c>
      <x:c r="M13" s="48" t="s">
        <x:v>194</x:v>
      </x:c>
    </x:row>
    <x:row r="14" ht="38">
      <x:c r="A14" s="3" t="s">
        <x:v>195</x:v>
      </x:c>
      <x:c r="B14" s="46" t="s">
        <x:v>47</x:v>
      </x:c>
      <x:c r="C14" s="46" t="s">
        <x:v>168</x:v>
      </x:c>
      <x:c r="D14" s="48" t="s">
        <x:v>196</x:v>
      </x:c>
      <x:c r="E14" s="48" t="s">
        <x:v>197</x:v>
      </x:c>
      <x:c r="F14" s="48" t="s">
        <x:v>198</x:v>
      </x:c>
      <x:c r="G14" s="46" t="s">
        <x:v>138</x:v>
      </x:c>
      <x:c r="H14" s="48" t="s">
        <x:v>199</x:v>
      </x:c>
      <x:c r="I14" s="14">
        <x:v>3</x:v>
      </x:c>
      <x:c r="J14" s="15">
        <x:v>3</x:v>
      </x:c>
      <x:c r="K14" s="7">
        <x:f t="shared" si="0"/>
        <x:v>9</x:v>
      </x:c>
      <x:c r="L14" s="7" t="str">
        <x:f t="shared" si="1"/>
        <x:v>MEDIA</x:v>
      </x:c>
      <x:c r="M14" s="48" t="s">
        <x:v>200</x:v>
      </x:c>
    </x:row>
  </x:sheetData>
  <x:mergeCells>
    <x:mergeCell ref="A1:M1"/>
    <x:mergeCell ref="A2:M2"/>
  </x:mergeCells>
  <x:conditionalFormatting sqref="K5:K1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L5:L14">
    <x:cfRule type="containsText" dxfId="8" priority="2" operator="containsText" text="ALTA"/>
    <x:cfRule type="containsText" dxfId="7" priority="3" operator="containsText" text="MEDIA"/>
    <x:cfRule type="containsText" dxfId="6" priority="4" operator="containsText" text="BAJA"/>
  </x:conditionalFormatting>
  <x:dataValidations count="1">
    <x:dataValidation type="whole" sqref="I5:J14">
      <x:formula1>1</x:formula1>
      <x:formula2>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2" customWidth="1"/>
    <x:col min="2" max="2" width="36" customWidth="1"/>
    <x:col min="3" max="3" width="12" customWidth="1"/>
    <x:col min="4" max="4" width="30" customWidth="1"/>
    <x:col min="5" max="5" width="32" customWidth="1"/>
    <x:col min="6" max="6" width="28" customWidth="1"/>
    <x:col min="7" max="7" width="16" customWidth="1"/>
    <x:col min="8" max="8" width="26" customWidth="1"/>
  </x:cols>
  <x:sheetData>
    <x:row r="1" ht="34" customHeight="1">
      <x:c r="A1" s="49" t="s">
        <x:v>201</x:v>
      </x:c>
      <x:c r="B1" s="49" t="s">
        <x:v>201</x:v>
      </x:c>
      <x:c r="C1" s="49" t="s">
        <x:v>201</x:v>
      </x:c>
      <x:c r="D1" s="49" t="s">
        <x:v>201</x:v>
      </x:c>
      <x:c r="E1" s="49" t="s">
        <x:v>201</x:v>
      </x:c>
      <x:c r="F1" s="49" t="s">
        <x:v>201</x:v>
      </x:c>
      <x:c r="G1" s="49" t="s">
        <x:v>201</x:v>
      </x:c>
      <x:c r="H1" s="49" t="s">
        <x:v>201</x:v>
      </x:c>
    </x:row>
    <x:row r="2" ht="30" customHeight="1">
      <x:c r="A2" s="50" t="s">
        <x:v>202</x:v>
      </x:c>
      <x:c r="B2" s="50" t="s">
        <x:v>202</x:v>
      </x:c>
      <x:c r="C2" s="50" t="s">
        <x:v>202</x:v>
      </x:c>
      <x:c r="D2" s="50" t="s">
        <x:v>202</x:v>
      </x:c>
      <x:c r="E2" s="50" t="s">
        <x:v>202</x:v>
      </x:c>
      <x:c r="F2" s="50" t="s">
        <x:v>202</x:v>
      </x:c>
      <x:c r="G2" s="50" t="s">
        <x:v>202</x:v>
      </x:c>
      <x:c r="H2" s="50" t="s">
        <x:v>202</x:v>
      </x:c>
    </x:row>
    <x:row r="4" ht="34" customHeight="1">
      <x:c r="A4" s="1" t="s">
        <x:v>203</x:v>
      </x:c>
      <x:c r="B4" s="1" t="s">
        <x:v>204</x:v>
      </x:c>
      <x:c r="C4" s="1" t="s">
        <x:v>129</x:v>
      </x:c>
      <x:c r="D4" s="1" t="s">
        <x:v>205</x:v>
      </x:c>
      <x:c r="E4" s="1" t="s">
        <x:v>206</x:v>
      </x:c>
      <x:c r="F4" s="1" t="s">
        <x:v>207</x:v>
      </x:c>
      <x:c r="G4" s="1" t="s">
        <x:v>81</x:v>
      </x:c>
      <x:c r="H4" s="63"/>
    </x:row>
    <x:row r="5" ht="25.5">
      <x:c r="A5" s="2" t="s">
        <x:v>208</x:v>
      </x:c>
      <x:c r="B5" s="2" t="s">
        <x:v>209</x:v>
      </x:c>
      <x:c r="C5" s="2" t="s">
        <x:v>210</x:v>
      </x:c>
      <x:c r="D5" s="2" t="s">
        <x:v>211</x:v>
      </x:c>
      <x:c r="E5" s="2" t="s">
        <x:v>212</x:v>
      </x:c>
      <x:c r="F5" s="48" t="s">
        <x:v>213</x:v>
      </x:c>
      <x:c r="G5" s="13" t="s">
        <x:v>214</x:v>
      </x:c>
      <x:c r="H5" s="2"/>
    </x:row>
    <x:row r="6" ht="25.5">
      <x:c r="A6" s="3" t="s">
        <x:v>215</x:v>
      </x:c>
      <x:c r="B6" s="3" t="s">
        <x:v>216</x:v>
      </x:c>
      <x:c r="C6" s="3" t="s">
        <x:v>217</x:v>
      </x:c>
      <x:c r="D6" s="3" t="s">
        <x:v>218</x:v>
      </x:c>
      <x:c r="E6" s="3" t="s">
        <x:v>219</x:v>
      </x:c>
      <x:c r="F6" s="48" t="s">
        <x:v>220</x:v>
      </x:c>
      <x:c r="G6" s="29" t="s">
        <x:v>214</x:v>
      </x:c>
      <x:c r="H6" s="3"/>
    </x:row>
    <x:row r="7" ht="38">
      <x:c r="A7" s="3" t="s">
        <x:v>221</x:v>
      </x:c>
      <x:c r="B7" s="3" t="s">
        <x:v>222</x:v>
      </x:c>
      <x:c r="C7" s="3" t="s">
        <x:v>217</x:v>
      </x:c>
      <x:c r="D7" s="3" t="s">
        <x:v>223</x:v>
      </x:c>
      <x:c r="E7" s="3" t="s">
        <x:v>224</x:v>
      </x:c>
      <x:c r="F7" s="48" t="s">
        <x:v>225</x:v>
      </x:c>
      <x:c r="G7" s="29" t="s">
        <x:v>214</x:v>
      </x:c>
      <x:c r="H7" s="3"/>
    </x:row>
    <x:row r="8" ht="38">
      <x:c r="A8" s="3" t="s">
        <x:v>226</x:v>
      </x:c>
      <x:c r="B8" s="3" t="s">
        <x:v>227</x:v>
      </x:c>
      <x:c r="C8" s="3" t="s">
        <x:v>217</x:v>
      </x:c>
      <x:c r="D8" s="3" t="s">
        <x:v>223</x:v>
      </x:c>
      <x:c r="E8" s="3" t="s">
        <x:v>224</x:v>
      </x:c>
      <x:c r="F8" s="48" t="s">
        <x:v>228</x:v>
      </x:c>
      <x:c r="G8" s="29" t="s">
        <x:v>214</x:v>
      </x:c>
      <x:c r="H8" s="3"/>
    </x:row>
    <x:row r="9" ht="25.5">
      <x:c r="A9" s="3" t="s">
        <x:v>229</x:v>
      </x:c>
      <x:c r="B9" s="3" t="s">
        <x:v>230</x:v>
      </x:c>
      <x:c r="C9" s="3" t="s">
        <x:v>210</x:v>
      </x:c>
      <x:c r="D9" s="3" t="s">
        <x:v>231</x:v>
      </x:c>
      <x:c r="E9" s="3" t="s">
        <x:v>64</x:v>
      </x:c>
      <x:c r="F9" s="48" t="s">
        <x:v>232</x:v>
      </x:c>
      <x:c r="G9" s="29" t="s">
        <x:v>214</x:v>
      </x:c>
      <x:c r="H9" s="3"/>
    </x:row>
    <x:row r="10" ht="38">
      <x:c r="A10" s="3" t="s">
        <x:v>233</x:v>
      </x:c>
      <x:c r="B10" s="3" t="s">
        <x:v>234</x:v>
      </x:c>
      <x:c r="C10" s="3" t="s">
        <x:v>235</x:v>
      </x:c>
      <x:c r="D10" s="3" t="s">
        <x:v>236</x:v>
      </x:c>
      <x:c r="E10" s="3" t="s">
        <x:v>237</x:v>
      </x:c>
      <x:c r="F10" s="48" t="s">
        <x:v>238</x:v>
      </x:c>
      <x:c r="G10" s="29" t="s">
        <x:v>214</x:v>
      </x:c>
      <x:c r="H10" s="3"/>
    </x:row>
    <x:row r="11" ht="38">
      <x:c r="A11" s="3" t="s">
        <x:v>239</x:v>
      </x:c>
      <x:c r="B11" s="3" t="s">
        <x:v>240</x:v>
      </x:c>
      <x:c r="C11" s="3" t="s">
        <x:v>210</x:v>
      </x:c>
      <x:c r="D11" s="3" t="s">
        <x:v>241</x:v>
      </x:c>
      <x:c r="E11" s="3" t="s">
        <x:v>242</x:v>
      </x:c>
      <x:c r="F11" s="48" t="str">
        <x:v>Modelos flash y columna guardados e identificados; DWSIM versión 9.0.5</x:v>
      </x:c>
      <x:c r="G11" s="29" t="s">
        <x:v>214</x:v>
      </x:c>
      <x:c r="H11" s="3"/>
    </x:row>
    <x:row r="12" ht="50.5">
      <x:c r="A12" s="3" t="s">
        <x:v>243</x:v>
      </x:c>
      <x:c r="B12" s="3" t="s">
        <x:v>244</x:v>
      </x:c>
      <x:c r="C12" s="3" t="s">
        <x:v>210</x:v>
      </x:c>
      <x:c r="D12" s="3" t="s">
        <x:v>245</x:v>
      </x:c>
      <x:c r="E12" s="3" t="s">
        <x:v>246</x:v>
      </x:c>
      <x:c r="F12" s="48" t="s">
        <x:v>247</x:v>
      </x:c>
      <x:c r="G12" s="15" t="s">
        <x:v>214</x:v>
      </x:c>
      <x:c r="H12" s="3"/>
    </x:row>
    <x:row r="13">
      <x:c r="F13" s="64"/>
    </x:row>
  </x:sheetData>
  <x:mergeCells>
    <x:mergeCell ref="A1:H1"/>
    <x:mergeCell ref="A2:H2"/>
  </x:mergeCells>
  <x:conditionalFormatting sqref="G5:G12">
    <x:cfRule type="containsText" dxfId="5" priority="1" operator="containsText" text="CUMPLE"/>
    <x:cfRule type="containsText" dxfId="4" priority="2" operator="containsText" text="NO CUMPLE"/>
    <x:cfRule type="containsText" dxfId="3" priority="3" operator="containsText" text="NO INICIADO"/>
  </x:conditionalFormatting>
  <x:dataValidations count="1">
    <x:dataValidation type="list" sqref="G5:G12">
      <x:formula1>"NO INICIADO,CUMPLE,NO CUMPLE,NO APLICA"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10" customWidth="1"/>
    <x:col min="2" max="2" width="22" customWidth="1"/>
    <x:col min="3" max="3" width="38" customWidth="1"/>
    <x:col min="4" max="4" width="10" customWidth="1"/>
    <x:col min="5" max="5" width="16" customWidth="1"/>
    <x:col min="6" max="6" width="14" customWidth="1"/>
    <x:col min="7" max="8" width="36" customWidth="1"/>
  </x:cols>
  <x:sheetData>
    <x:row r="1" ht="34" customHeight="1">
      <x:c r="A1" s="49" t="s">
        <x:v>248</x:v>
      </x:c>
      <x:c r="B1" s="49" t="s">
        <x:v>248</x:v>
      </x:c>
      <x:c r="C1" s="49" t="s">
        <x:v>248</x:v>
      </x:c>
      <x:c r="D1" s="49" t="s">
        <x:v>248</x:v>
      </x:c>
      <x:c r="E1" s="49" t="s">
        <x:v>248</x:v>
      </x:c>
      <x:c r="F1" s="49" t="s">
        <x:v>248</x:v>
      </x:c>
      <x:c r="G1" s="49" t="s">
        <x:v>248</x:v>
      </x:c>
      <x:c r="H1" s="49" t="s">
        <x:v>248</x:v>
      </x:c>
    </x:row>
    <x:row r="2" ht="30" customHeight="1">
      <x:c r="A2" s="50" t="str">
        <x:v>Trazabilidad del desarrollo, los archivos y las decisiones del proyecto.</x:v>
      </x:c>
      <x:c r="B2" s="50" t="s">
        <x:v>249</x:v>
      </x:c>
      <x:c r="C2" s="50" t="s">
        <x:v>249</x:v>
      </x:c>
      <x:c r="D2" s="50" t="s">
        <x:v>249</x:v>
      </x:c>
      <x:c r="E2" s="50" t="s">
        <x:v>249</x:v>
      </x:c>
      <x:c r="F2" s="50" t="s">
        <x:v>249</x:v>
      </x:c>
      <x:c r="G2" s="50" t="s">
        <x:v>249</x:v>
      </x:c>
      <x:c r="H2" s="50" t="s">
        <x:v>249</x:v>
      </x:c>
    </x:row>
    <x:row r="4" ht="34" customHeight="1">
      <x:c r="A4" s="1" t="s">
        <x:v>250</x:v>
      </x:c>
      <x:c r="B4" s="1" t="s">
        <x:v>251</x:v>
      </x:c>
      <x:c r="C4" s="1" t="s">
        <x:v>252</x:v>
      </x:c>
      <x:c r="D4" s="1" t="s">
        <x:v>253</x:v>
      </x:c>
      <x:c r="E4" s="1" t="s">
        <x:v>81</x:v>
      </x:c>
      <x:c r="F4" s="1" t="s">
        <x:v>254</x:v>
      </x:c>
      <x:c r="G4" s="1" t="s">
        <x:v>255</x:v>
      </x:c>
      <x:c r="H4" s="1" t="s">
        <x:v>256</x:v>
      </x:c>
    </x:row>
    <x:row r="5">
      <x:c r="A5" s="2">
        <x:v>1</x:v>
      </x:c>
      <x:c r="B5" s="2" t="s">
        <x:v>257</x:v>
      </x:c>
      <x:c r="C5" s="2" t="s">
        <x:v>258</x:v>
      </x:c>
      <x:c r="D5" s="2">
        <x:v>60</x:v>
      </x:c>
      <x:c r="E5" s="12" t="s">
        <x:v>259</x:v>
      </x:c>
      <x:c r="F5" s="43">
        <x:v>46253</x:v>
      </x:c>
      <x:c r="G5" s="27"/>
      <x:c r="H5" s="13"/>
    </x:row>
    <x:row r="6">
      <x:c r="A6" s="3">
        <x:v>2</x:v>
      </x:c>
      <x:c r="B6" s="3" t="s">
        <x:v>260</x:v>
      </x:c>
      <x:c r="C6" s="3" t="s">
        <x:v>261</x:v>
      </x:c>
      <x:c r="D6" s="3">
        <x:v>60</x:v>
      </x:c>
      <x:c r="E6" s="28" t="s">
        <x:v>259</x:v>
      </x:c>
      <x:c r="F6" s="44">
        <x:v>46253</x:v>
      </x:c>
      <x:c r="G6" s="4"/>
      <x:c r="H6" s="29"/>
    </x:row>
    <x:row r="7">
      <x:c r="A7" s="3">
        <x:v>3</x:v>
      </x:c>
      <x:c r="B7" s="3" t="s">
        <x:v>260</x:v>
      </x:c>
      <x:c r="C7" s="3" t="s">
        <x:v>262</x:v>
      </x:c>
      <x:c r="D7" s="3">
        <x:v>60</x:v>
      </x:c>
      <x:c r="E7" s="28" t="s">
        <x:v>259</x:v>
      </x:c>
      <x:c r="F7" s="44">
        <x:v>46254</x:v>
      </x:c>
      <x:c r="G7" s="4"/>
      <x:c r="H7" s="29"/>
    </x:row>
    <x:row r="8">
      <x:c r="A8" s="3">
        <x:v>4</x:v>
      </x:c>
      <x:c r="B8" s="3" t="s">
        <x:v>260</x:v>
      </x:c>
      <x:c r="C8" s="3" t="s">
        <x:v>263</x:v>
      </x:c>
      <x:c r="D8" s="3">
        <x:v>60</x:v>
      </x:c>
      <x:c r="E8" s="28" t="s">
        <x:v>259</x:v>
      </x:c>
      <x:c r="F8" s="44">
        <x:v>46255</x:v>
      </x:c>
      <x:c r="G8" s="4" t="s">
        <x:v>264</x:v>
      </x:c>
      <x:c r="H8" s="29"/>
    </x:row>
    <x:row r="9">
      <x:c r="A9" s="3">
        <x:v>5</x:v>
      </x:c>
      <x:c r="B9" s="3" t="s">
        <x:v>265</x:v>
      </x:c>
      <x:c r="C9" s="3" t="s">
        <x:v>266</x:v>
      </x:c>
      <x:c r="D9" s="3">
        <x:v>60</x:v>
      </x:c>
      <x:c r="E9" s="28" t="s">
        <x:v>259</x:v>
      </x:c>
      <x:c r="F9" s="44">
        <x:v>46256</x:v>
      </x:c>
      <x:c r="G9" s="4"/>
      <x:c r="H9" s="29"/>
    </x:row>
    <x:row r="10">
      <x:c r="A10" s="3">
        <x:v>6</x:v>
      </x:c>
      <x:c r="B10" s="3" t="s">
        <x:v>267</x:v>
      </x:c>
      <x:c r="C10" s="3" t="s">
        <x:v>268</x:v>
      </x:c>
      <x:c r="D10" s="3">
        <x:v>60</x:v>
      </x:c>
      <x:c r="E10" s="28" t="s">
        <x:v>259</x:v>
      </x:c>
      <x:c r="F10" s="44">
        <x:v>46256</x:v>
      </x:c>
      <x:c r="G10" s="4"/>
      <x:c r="H10" s="29"/>
    </x:row>
    <x:row r="11">
      <x:c r="A11" s="3">
        <x:v>7</x:v>
      </x:c>
      <x:c r="B11" s="3" t="s">
        <x:v>269</x:v>
      </x:c>
      <x:c r="C11" s="3" t="s">
        <x:v>270</x:v>
      </x:c>
      <x:c r="D11" s="3">
        <x:v>60</x:v>
      </x:c>
      <x:c r="E11" s="28" t="s">
        <x:v>259</x:v>
      </x:c>
      <x:c r="F11" s="44">
        <x:v>46256</x:v>
      </x:c>
      <x:c r="G11" s="4"/>
      <x:c r="H11" s="29"/>
    </x:row>
    <x:row r="12">
      <x:c r="A12" s="3">
        <x:v>8</x:v>
      </x:c>
      <x:c r="B12" s="3" t="s">
        <x:v>269</x:v>
      </x:c>
      <x:c r="C12" s="3" t="s">
        <x:v>271</x:v>
      </x:c>
      <x:c r="D12" s="3">
        <x:v>60</x:v>
      </x:c>
      <x:c r="E12" s="28" t="s">
        <x:v>259</x:v>
      </x:c>
      <x:c r="F12" s="44">
        <x:v>46257</x:v>
      </x:c>
      <x:c r="G12" s="4"/>
      <x:c r="H12" s="29"/>
    </x:row>
    <x:row r="13" ht="26">
      <x:c r="A13" s="3">
        <x:v>9</x:v>
      </x:c>
      <x:c r="B13" s="3" t="s">
        <x:v>272</x:v>
      </x:c>
      <x:c r="C13" s="3" t="s">
        <x:v>273</x:v>
      </x:c>
      <x:c r="D13" s="3">
        <x:v>60</x:v>
      </x:c>
      <x:c r="E13" s="28" t="s">
        <x:v>259</x:v>
      </x:c>
      <x:c r="F13" s="44">
        <x:v>46259</x:v>
      </x:c>
      <x:c r="G13" s="4" t="s">
        <x:v>274</x:v>
      </x:c>
      <x:c r="H13" s="29"/>
    </x:row>
    <x:row r="14">
      <x:c r="A14" s="3">
        <x:v>10</x:v>
      </x:c>
      <x:c r="B14" s="3" t="s">
        <x:v>275</x:v>
      </x:c>
      <x:c r="C14" s="3" t="s">
        <x:v>276</x:v>
      </x:c>
      <x:c r="D14" s="3">
        <x:v>60</x:v>
      </x:c>
      <x:c r="E14" s="28" t="s">
        <x:v>259</x:v>
      </x:c>
      <x:c r="F14" s="44">
        <x:v>46259.5</x:v>
      </x:c>
      <x:c r="G14" s="4" t="s">
        <x:v>277</x:v>
      </x:c>
      <x:c r="H14" s="29"/>
    </x:row>
    <x:row r="15">
      <x:c r="A15" s="3">
        <x:v>11</x:v>
      </x:c>
      <x:c r="B15" s="3" t="s">
        <x:v>275</x:v>
      </x:c>
      <x:c r="C15" s="3" t="s">
        <x:v>278</x:v>
      </x:c>
      <x:c r="D15" s="3">
        <x:v>60</x:v>
      </x:c>
      <x:c r="E15" s="28" t="s">
        <x:v>259</x:v>
      </x:c>
      <x:c r="F15" s="44">
        <x:v>46259.5</x:v>
      </x:c>
      <x:c r="G15" s="4" t="s">
        <x:v>279</x:v>
      </x:c>
      <x:c r="H15" s="29"/>
    </x:row>
    <x:row r="16" ht="26">
      <x:c r="A16" s="3">
        <x:v>12</x:v>
      </x:c>
      <x:c r="B16" s="3" t="s">
        <x:v>267</x:v>
      </x:c>
      <x:c r="C16" s="3" t="s">
        <x:v>280</x:v>
      </x:c>
      <x:c r="D16" s="3">
        <x:v>60</x:v>
      </x:c>
      <x:c r="E16" s="28" t="s">
        <x:v>259</x:v>
      </x:c>
      <x:c r="F16" s="44">
        <x:v>46260.5</x:v>
      </x:c>
      <x:c r="G16" s="4" t="s">
        <x:v>281</x:v>
      </x:c>
      <x:c r="H16" s="29"/>
    </x:row>
    <x:row r="17">
      <x:c r="A17" s="3">
        <x:v>13</x:v>
      </x:c>
      <x:c r="B17" s="3" t="s">
        <x:v>282</x:v>
      </x:c>
      <x:c r="C17" s="3" t="s">
        <x:v>283</x:v>
      </x:c>
      <x:c r="D17" s="3">
        <x:v>60</x:v>
      </x:c>
      <x:c r="E17" s="28" t="s">
        <x:v>259</x:v>
      </x:c>
      <x:c r="F17" s="44">
        <x:v>46260.5</x:v>
      </x:c>
      <x:c r="G17" s="4" t="s">
        <x:v>284</x:v>
      </x:c>
      <x:c r="H17" s="29"/>
    </x:row>
    <x:row r="18">
      <x:c r="A18" s="3">
        <x:v>14</x:v>
      </x:c>
      <x:c r="B18" s="3" t="s">
        <x:v>285</x:v>
      </x:c>
      <x:c r="C18" s="3" t="s">
        <x:v>286</x:v>
      </x:c>
      <x:c r="D18" s="3">
        <x:v>60</x:v>
      </x:c>
      <x:c r="E18" s="28" t="str">
        <x:v>HECHO</x:v>
      </x:c>
      <x:c r="F18" s="65" t="n">
        <x:v>46266</x:v>
      </x:c>
      <x:c r="G18" s="4" t="str">
        <x:v>P1_informe_final_v01.docx</x:v>
      </x:c>
      <x:c r="H18" s="29" t="str">
        <x:v>Informe principal iniciado</x:v>
      </x:c>
    </x:row>
    <x:row r="19">
      <x:c r="A19" s="3">
        <x:v>15</x:v>
      </x:c>
      <x:c r="B19" s="3" t="s">
        <x:v>287</x:v>
      </x:c>
      <x:c r="C19" s="3" t="s">
        <x:v>288</x:v>
      </x:c>
      <x:c r="D19" s="3">
        <x:v>60</x:v>
      </x:c>
      <x:c r="E19" s="28" t="str">
        <x:v>HECHO</x:v>
      </x:c>
      <x:c r="F19" s="65" t="n">
        <x:v>46266</x:v>
      </x:c>
      <x:c r="G19" s="4" t="str">
        <x:v>P1_S15_notas_columna_v01.docx</x:v>
      </x:c>
      <x:c r="H19" s="29" t="str">
        <x:v>Columna planteada como ampliación educativa</x:v>
      </x:c>
    </x:row>
    <x:row r="20">
      <x:c r="A20" s="3">
        <x:v>16</x:v>
      </x:c>
      <x:c r="B20" s="3" t="s">
        <x:v>287</x:v>
      </x:c>
      <x:c r="C20" s="3" t="s">
        <x:v>289</x:v>
      </x:c>
      <x:c r="D20" s="3">
        <x:v>60</x:v>
      </x:c>
      <x:c r="E20" s="28" t="str">
        <x:v>HECHO</x:v>
      </x:c>
      <x:c r="F20" s="66" t="n">
        <x:v>46266</x:v>
      </x:c>
      <x:c r="G20" s="4" t="str">
        <x:v>Modelo DWSIM de columna; caso C-01</x:v>
      </x:c>
      <x:c r="H20" s="29" t="str">
        <x:v>20 etapas, feed 10 y RR = 2</x:v>
      </x:c>
    </x:row>
    <x:row r="21">
      <x:c r="A21" s="3">
        <x:v>17</x:v>
      </x:c>
      <x:c r="B21" s="3" t="s">
        <x:v>287</x:v>
      </x:c>
      <x:c r="C21" s="3" t="s">
        <x:v>290</x:v>
      </x:c>
      <x:c r="D21" s="3">
        <x:v>60</x:v>
      </x:c>
      <x:c r="E21" s="28" t="str">
        <x:v>HECHO</x:v>
      </x:c>
      <x:c r="F21" s="65" t="n">
        <x:v>46266</x:v>
      </x:c>
      <x:c r="G21" s="4" t="str">
        <x:v>Columna_opcional: casos C-01 a C-05</x:v>
      </x:c>
      <x:c r="H21" s="29" t="str">
        <x:v>Sensibilidad de reflujo y número de etapas</x:v>
      </x:c>
    </x:row>
    <x:row r="22">
      <x:c r="A22" s="3">
        <x:v>18</x:v>
      </x:c>
      <x:c r="B22" s="3" t="s">
        <x:v>291</x:v>
      </x:c>
      <x:c r="C22" s="3" t="s">
        <x:v>292</x:v>
      </x:c>
      <x:c r="D22" s="3">
        <x:v>60</x:v>
      </x:c>
      <x:c r="E22" s="28" t="str">
        <x:v>HECHO</x:v>
      </x:c>
      <x:c r="F22" s="65" t="n">
        <x:v>46266</x:v>
      </x:c>
      <x:c r="G22" s="4" t="str">
        <x:v>P1_S18_comparacion_v01.docx</x:v>
      </x:c>
      <x:c r="H22" s="29" t="str">
        <x:v>Comparación energética solo cualitativa por bases distintas</x:v>
      </x:c>
    </x:row>
    <x:row r="23">
      <x:c r="A23" s="3">
        <x:v>19</x:v>
      </x:c>
      <x:c r="B23" s="3" t="s">
        <x:v>293</x:v>
      </x:c>
      <x:c r="C23" s="3" t="s">
        <x:v>294</x:v>
      </x:c>
      <x:c r="D23" s="3">
        <x:v>60</x:v>
      </x:c>
      <x:c r="E23" s="28" t="str">
        <x:v>HECHO</x:v>
      </x:c>
      <x:c r="F23" s="65" t="n">
        <x:v>46266</x:v>
      </x:c>
      <x:c r="G23" s="4" t="str">
        <x:v>HAZOP: escenarios HZ-01 a HZ-10</x:v>
      </x:c>
      <x:c r="H23" s="29" t="str">
        <x:v>Nodos H-1, SEP-1, Feed y sistema</x:v>
      </x:c>
    </x:row>
    <x:row r="24">
      <x:c r="A24" s="3">
        <x:v>20</x:v>
      </x:c>
      <x:c r="B24" s="3" t="s">
        <x:v>293</x:v>
      </x:c>
      <x:c r="C24" s="3" t="s">
        <x:v>295</x:v>
      </x:c>
      <x:c r="D24" s="3">
        <x:v>60</x:v>
      </x:c>
      <x:c r="E24" s="28" t="str">
        <x:v>HECHO</x:v>
      </x:c>
      <x:c r="F24" s="65" t="n">
        <x:v>46266</x:v>
      </x:c>
      <x:c r="G24" s="4" t="str">
        <x:v>HAZOP: matriz S × L completa</x:v>
      </x:c>
      <x:c r="H24" s="29" t="str">
        <x:v>Priorización cualitativa</x:v>
      </x:c>
    </x:row>
    <x:row r="25">
      <x:c r="A25" s="3">
        <x:v>21</x:v>
      </x:c>
      <x:c r="B25" s="3" t="s">
        <x:v>296</x:v>
      </x:c>
      <x:c r="C25" s="3" t="s">
        <x:v>297</x:v>
      </x:c>
      <x:c r="D25" s="3">
        <x:v>60</x:v>
      </x:c>
      <x:c r="E25" s="28" t="str">
        <x:v>HECHO</x:v>
      </x:c>
      <x:c r="F25" s="65" t="n">
        <x:v>46267</x:v>
      </x:c>
      <x:c r="G25" s="4" t="str">
        <x:v>Verificacion: URS-001 a URS-008</x:v>
      </x:c>
      <x:c r="H25" s="29" t="str">
        <x:v>Ocho requisitos cumplen</x:v>
      </x:c>
    </x:row>
    <x:row r="26">
      <x:c r="A26" s="3">
        <x:v>22</x:v>
      </x:c>
      <x:c r="B26" s="3" t="s">
        <x:v>298</x:v>
      </x:c>
      <x:c r="C26" s="3" t="s">
        <x:v>299</x:v>
      </x:c>
      <x:c r="D26" s="3">
        <x:v>60</x:v>
      </x:c>
      <x:c r="E26" s="28" t="str">
        <x:v>HECHO</x:v>
      </x:c>
      <x:c r="F26" s="65" t="n">
        <x:v>46267</x:v>
      </x:c>
      <x:c r="G26" s="4" t="str">
        <x:v>P1_informe_final_v02.docx</x:v>
      </x:c>
      <x:c r="H26" s="29" t="str">
        <x:v>Resultados y discusión integrados</x:v>
      </x:c>
    </x:row>
    <x:row r="27">
      <x:c r="A27" s="3">
        <x:v>23</x:v>
      </x:c>
      <x:c r="B27" s="3" t="s">
        <x:v>298</x:v>
      </x:c>
      <x:c r="C27" s="3" t="s">
        <x:v>300</x:v>
      </x:c>
      <x:c r="D27" s="3">
        <x:v>60</x:v>
      </x:c>
      <x:c r="E27" s="28" t="str">
        <x:v>HECHO</x:v>
      </x:c>
      <x:c r="F27" s="44" t="n">
        <x:v>46268</x:v>
      </x:c>
      <x:c r="G27" s="4" t="str">
        <x:v>Informe_recuperacion_etanol_Diego_Miralles.pdf</x:v>
      </x:c>
      <x:c r="H27" s="29" t="str">
        <x:v>Resumen, limitaciones y conclusiones cerrados.</x:v>
      </x:c>
    </x:row>
    <x:row r="28">
      <x:c r="A28" s="3">
        <x:v>24</x:v>
      </x:c>
      <x:c r="B28" s="3" t="s">
        <x:v>301</x:v>
      </x:c>
      <x:c r="C28" s="3" t="s">
        <x:v>302</x:v>
      </x:c>
      <x:c r="D28" s="3">
        <x:v>60</x:v>
      </x:c>
      <x:c r="E28" s="14" t="str">
        <x:v>HECHO</x:v>
      </x:c>
      <x:c r="F28" s="45" t="n">
        <x:v>46269</x:v>
      </x:c>
      <x:c r="G28" s="30" t="str">
        <x:v>Portfolio y archivos reproducibles publicados</x:v>
      </x:c>
      <x:c r="H28" s="15" t="str">
        <x:v>QA final completado; materiales públicos revisados.</x:v>
      </x:c>
    </x:row>
  </x:sheetData>
  <x:mergeCells>
    <x:mergeCell ref="A1:H1"/>
    <x:mergeCell ref="A2:H2"/>
  </x:mergeCells>
  <x:conditionalFormatting sqref="E5:E28">
    <x:cfRule type="containsText" dxfId="2" priority="1" operator="containsText" text="HECHO"/>
    <x:cfRule type="containsText" dxfId="1" priority="2" operator="containsText" text="BLOQUEADO"/>
    <x:cfRule type="containsText" dxfId="0" priority="3" operator="containsText" text="EN CURSO"/>
  </x:conditionalFormatting>
  <x:dataValidations count="1">
    <x:dataValidation type="list" sqref="E5:E28">
      <x:formula1>"NO INICIADO,EN CURSO,HECHO,BLOQUEADO"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cols>
    <x:col min="1" max="1" width="28" customWidth="1"/>
    <x:col min="2" max="2" width="24" customWidth="1"/>
    <x:col min="3" max="3" width="72" customWidth="1"/>
    <x:col min="4" max="4" width="42" customWidth="1"/>
  </x:cols>
  <x:sheetData>
    <x:row r="1" ht="34" customHeight="1">
      <x:c r="A1" s="49" t="s">
        <x:v>303</x:v>
      </x:c>
      <x:c r="B1" s="49" t="s">
        <x:v>303</x:v>
      </x:c>
      <x:c r="C1" s="49" t="s">
        <x:v>303</x:v>
      </x:c>
      <x:c r="D1" s="49" t="s">
        <x:v>303</x:v>
      </x:c>
    </x:row>
    <x:row r="2" ht="30" customHeight="1">
      <x:c r="A2" s="50" t="str">
        <x:v>Referencias oficiales utilizadas en la configuración, seguridad y verificación.</x:v>
      </x:c>
      <x:c r="B2" s="50" t="s">
        <x:v>304</x:v>
      </x:c>
      <x:c r="C2" s="50" t="s">
        <x:v>304</x:v>
      </x:c>
      <x:c r="D2" s="50" t="s">
        <x:v>304</x:v>
      </x:c>
    </x:row>
    <x:row r="4" ht="34" customHeight="1">
      <x:c r="A4" s="1" t="s">
        <x:v>305</x:v>
      </x:c>
      <x:c r="B4" s="1" t="s">
        <x:v>306</x:v>
      </x:c>
      <x:c r="C4" s="1" t="s">
        <x:v>307</x:v>
      </x:c>
      <x:c r="D4" s="1" t="s">
        <x:v>308</x:v>
      </x:c>
    </x:row>
    <x:row r="5">
      <x:c r="A5" s="2" t="s">
        <x:v>309</x:v>
      </x:c>
      <x:c r="B5" s="2" t="s">
        <x:v>310</x:v>
      </x:c>
      <x:c r="C5" s="2" t="s">
        <x:v>311</x:v>
      </x:c>
      <x:c r="D5" s="2" t="s">
        <x:v>312</x:v>
      </x:c>
    </x:row>
    <x:row r="6">
      <x:c r="A6" s="3" t="s">
        <x:v>313</x:v>
      </x:c>
      <x:c r="B6" s="3" t="s">
        <x:v>314</x:v>
      </x:c>
      <x:c r="C6" s="3" t="s">
        <x:v>315</x:v>
      </x:c>
      <x:c r="D6" s="3" t="s">
        <x:v>316</x:v>
      </x:c>
    </x:row>
    <x:row r="7">
      <x:c r="A7" s="3" t="s">
        <x:v>317</x:v>
      </x:c>
      <x:c r="B7" s="3" t="s">
        <x:v>314</x:v>
      </x:c>
      <x:c r="C7" s="3" t="s">
        <x:v>318</x:v>
      </x:c>
      <x:c r="D7" s="3" t="s">
        <x:v>319</x:v>
      </x:c>
    </x:row>
    <x:row r="8">
      <x:c r="A8" s="3" t="s">
        <x:v>320</x:v>
      </x:c>
      <x:c r="B8" s="3" t="s">
        <x:v>314</x:v>
      </x:c>
      <x:c r="C8" s="3" t="s">
        <x:v>321</x:v>
      </x:c>
      <x:c r="D8" s="3" t="s">
        <x:v>322</x:v>
      </x:c>
    </x:row>
    <x:row r="9">
      <x:c r="A9" s="3" t="s">
        <x:v>323</x:v>
      </x:c>
      <x:c r="B9" s="3" t="s">
        <x:v>314</x:v>
      </x:c>
      <x:c r="C9" s="3" t="s">
        <x:v>324</x:v>
      </x:c>
      <x:c r="D9" s="3" t="s">
        <x:v>325</x:v>
      </x:c>
    </x:row>
    <x:row r="10">
      <x:c r="A10" s="3" t="s">
        <x:v>326</x:v>
      </x:c>
      <x:c r="B10" s="3" t="s">
        <x:v>314</x:v>
      </x:c>
      <x:c r="C10" s="3" t="s">
        <x:v>327</x:v>
      </x:c>
      <x:c r="D10" s="3" t="s">
        <x:v>328</x:v>
      </x:c>
    </x:row>
    <x:row r="11">
      <x:c r="A11" s="3" t="s">
        <x:v>329</x:v>
      </x:c>
      <x:c r="B11" s="3" t="s">
        <x:v>330</x:v>
      </x:c>
      <x:c r="C11" s="3" t="s">
        <x:v>331</x:v>
      </x:c>
      <x:c r="D11" s="3" t="s">
        <x:v>332</x:v>
      </x:c>
    </x:row>
    <x:row r="12">
      <x:c r="A12" s="3" t="s">
        <x:v>333</x:v>
      </x:c>
      <x:c r="B12" s="3" t="s">
        <x:v>334</x:v>
      </x:c>
      <x:c r="C12" s="3" t="s">
        <x:v>335</x:v>
      </x:c>
      <x:c r="D12" s="3" t="s">
        <x:v>336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sheetData/>
  <x:pageMargins left="0.7" right="0.7" top="0.75" bottom="0.75" header="0.3" footer="0.3"/>
  <x:drawing xmlns:r="http://schemas.openxmlformats.org/officeDocument/2006/relationships" r:id="Rbe42932103594258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"/>
  <x:sheetData/>
  <x:pageMargins left="0.7" right="0.7" top="0.75" bottom="0.75" header="0.3" footer="0.3"/>
  <x:drawing xmlns:r="http://schemas.openxmlformats.org/officeDocument/2006/relationships" r:id="R39c814d0b81348b8"/>
</x:worksheet>
</file>